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drawings/drawing11.xml" ContentType="application/vnd.openxmlformats-officedocument.drawing+xml"/>
  <Override PartName="/xl/comments3.xml" ContentType="application/vnd.openxmlformats-officedocument.spreadsheetml.comments+xml"/>
  <Override PartName="/xl/drawings/drawing12.xml" ContentType="application/vnd.openxmlformats-officedocument.drawing+xml"/>
  <Override PartName="/xl/comments4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etronas-my.sharepoint.com/personal/hateem_feroz_petronas_com/Documents/MRCSB_Production Planning/001- PSR1 Scheduling/06 OASIS/"/>
    </mc:Choice>
  </mc:AlternateContent>
  <xr:revisionPtr revIDLastSave="298" documentId="8_{3C0A7C0C-3DF8-41D9-B047-521F32AE2F26}" xr6:coauthVersionLast="47" xr6:coauthVersionMax="47" xr10:uidLastSave="{8C01B9D4-9602-4183-882A-E5FBE6BFDDA2}"/>
  <bookViews>
    <workbookView xWindow="-108" yWindow="-108" windowWidth="23256" windowHeight="13896" tabRatio="678" firstSheet="1" activeTab="3" xr2:uid="{00000000-000D-0000-FFFF-FFFF00000000}"/>
  </bookViews>
  <sheets>
    <sheet name="Instruction" sheetId="29" r:id="rId1"/>
    <sheet name="Summary" sheetId="25" r:id="rId2"/>
    <sheet name="Template" sheetId="30" r:id="rId3"/>
    <sheet name="Base Case (Working)" sheetId="13" r:id="rId4"/>
    <sheet name="Base Case (Celebal)" sheetId="26" state="hidden" r:id="rId5"/>
    <sheet name="Base Case (Working) R1" sheetId="27" state="hidden" r:id="rId6"/>
    <sheet name="Scenario 2" sheetId="17" r:id="rId7"/>
    <sheet name="Scenario 3" sheetId="18" r:id="rId8"/>
    <sheet name="Scenario 4" sheetId="20" r:id="rId9"/>
    <sheet name="Scenario 5a" sheetId="22" r:id="rId10"/>
    <sheet name="Scenario 5b" sheetId="23" r:id="rId11"/>
    <sheet name="Scenario 5c" sheetId="24" r:id="rId12"/>
    <sheet name="Base Case (1 Penalty)" sheetId="7" state="hidden" r:id="rId13"/>
    <sheet name="Base Case (Case 2)" sheetId="16" state="hidden" r:id="rId14"/>
    <sheet name="Ori" sheetId="2" state="hidden" r:id="rId15"/>
    <sheet name="Old" sheetId="3" state="hidden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3" l="1"/>
  <c r="J32" i="13"/>
  <c r="D3" i="13"/>
  <c r="D4" i="13"/>
  <c r="G4" i="13"/>
  <c r="J3" i="13"/>
  <c r="F11" i="25" l="1"/>
  <c r="F10" i="25"/>
  <c r="F9" i="25"/>
  <c r="F8" i="25"/>
  <c r="F7" i="25"/>
  <c r="F6" i="25"/>
  <c r="F5" i="25"/>
  <c r="G5" i="25" s="1"/>
  <c r="F4" i="25"/>
  <c r="H4" i="25"/>
  <c r="C4" i="25"/>
  <c r="B4" i="25"/>
  <c r="E5" i="25"/>
  <c r="E6" i="25"/>
  <c r="E7" i="25"/>
  <c r="E8" i="25"/>
  <c r="E9" i="25"/>
  <c r="E10" i="25"/>
  <c r="E11" i="25"/>
  <c r="E4" i="25"/>
  <c r="G4" i="25"/>
  <c r="P45" i="30"/>
  <c r="W43" i="30"/>
  <c r="W42" i="30"/>
  <c r="W41" i="30"/>
  <c r="W39" i="30"/>
  <c r="V39" i="30"/>
  <c r="W38" i="30"/>
  <c r="W37" i="30"/>
  <c r="W34" i="30"/>
  <c r="V34" i="30"/>
  <c r="V33" i="30"/>
  <c r="N45" i="30"/>
  <c r="W31" i="30"/>
  <c r="W30" i="30"/>
  <c r="V30" i="30"/>
  <c r="W29" i="30"/>
  <c r="V29" i="30"/>
  <c r="W28" i="30"/>
  <c r="V28" i="30"/>
  <c r="W27" i="30"/>
  <c r="V27" i="30"/>
  <c r="W26" i="30"/>
  <c r="V26" i="30"/>
  <c r="W25" i="30"/>
  <c r="V25" i="30"/>
  <c r="W24" i="30"/>
  <c r="V24" i="30"/>
  <c r="W23" i="30"/>
  <c r="W22" i="30"/>
  <c r="V22" i="30"/>
  <c r="W21" i="30"/>
  <c r="V21" i="30"/>
  <c r="W19" i="30"/>
  <c r="W18" i="30"/>
  <c r="W15" i="30"/>
  <c r="V15" i="30"/>
  <c r="L45" i="30"/>
  <c r="O45" i="30"/>
  <c r="W13" i="30"/>
  <c r="W12" i="30"/>
  <c r="V12" i="30"/>
  <c r="W11" i="30"/>
  <c r="V11" i="30"/>
  <c r="W10" i="30"/>
  <c r="V10" i="30"/>
  <c r="W9" i="30"/>
  <c r="V9" i="30"/>
  <c r="V7" i="30"/>
  <c r="W7" i="30"/>
  <c r="W6" i="30"/>
  <c r="V6" i="30"/>
  <c r="W5" i="30"/>
  <c r="V5" i="30"/>
  <c r="J5" i="30"/>
  <c r="J6" i="30" s="1"/>
  <c r="J7" i="30" s="1"/>
  <c r="J8" i="30" s="1"/>
  <c r="J9" i="30" s="1"/>
  <c r="J10" i="30" s="1"/>
  <c r="J11" i="30" s="1"/>
  <c r="J12" i="30" s="1"/>
  <c r="J13" i="30" s="1"/>
  <c r="J14" i="30" s="1"/>
  <c r="J15" i="30" s="1"/>
  <c r="J16" i="30" s="1"/>
  <c r="J17" i="30" s="1"/>
  <c r="J18" i="30" s="1"/>
  <c r="J19" i="30" s="1"/>
  <c r="G5" i="30"/>
  <c r="G6" i="30" s="1"/>
  <c r="G7" i="30" s="1"/>
  <c r="G8" i="30" s="1"/>
  <c r="G9" i="30" s="1"/>
  <c r="G10" i="30" s="1"/>
  <c r="G11" i="30" s="1"/>
  <c r="G12" i="30" s="1"/>
  <c r="G13" i="30" s="1"/>
  <c r="G14" i="30" s="1"/>
  <c r="G15" i="30" s="1"/>
  <c r="G16" i="30" s="1"/>
  <c r="G17" i="30" s="1"/>
  <c r="G18" i="30" s="1"/>
  <c r="G19" i="30" s="1"/>
  <c r="G20" i="30" s="1"/>
  <c r="G21" i="30" s="1"/>
  <c r="G22" i="30" s="1"/>
  <c r="G23" i="30" s="1"/>
  <c r="G24" i="30" s="1"/>
  <c r="G25" i="30" s="1"/>
  <c r="G26" i="30" s="1"/>
  <c r="G27" i="30" s="1"/>
  <c r="G28" i="30" s="1"/>
  <c r="G29" i="30" s="1"/>
  <c r="G30" i="30" s="1"/>
  <c r="G31" i="30" s="1"/>
  <c r="G32" i="30" s="1"/>
  <c r="G33" i="30" s="1"/>
  <c r="G34" i="30" s="1"/>
  <c r="G35" i="30" s="1"/>
  <c r="G36" i="30" s="1"/>
  <c r="G37" i="30" s="1"/>
  <c r="G38" i="30" s="1"/>
  <c r="G39" i="30" s="1"/>
  <c r="G40" i="30" s="1"/>
  <c r="G41" i="30" s="1"/>
  <c r="G42" i="30" s="1"/>
  <c r="G43" i="30" s="1"/>
  <c r="F5" i="30"/>
  <c r="F6" i="30" s="1"/>
  <c r="F7" i="30" s="1"/>
  <c r="F8" i="30" s="1"/>
  <c r="F9" i="30" s="1"/>
  <c r="F10" i="30" s="1"/>
  <c r="F11" i="30" s="1"/>
  <c r="F12" i="30" s="1"/>
  <c r="F13" i="30" s="1"/>
  <c r="F14" i="30" s="1"/>
  <c r="F15" i="30" s="1"/>
  <c r="F16" i="30" s="1"/>
  <c r="F17" i="30" s="1"/>
  <c r="F18" i="30" s="1"/>
  <c r="F19" i="30" s="1"/>
  <c r="F20" i="30" s="1"/>
  <c r="F21" i="30" s="1"/>
  <c r="F22" i="30" s="1"/>
  <c r="F23" i="30" s="1"/>
  <c r="F24" i="30" s="1"/>
  <c r="F25" i="30" s="1"/>
  <c r="F26" i="30" s="1"/>
  <c r="F27" i="30" s="1"/>
  <c r="F28" i="30" s="1"/>
  <c r="F29" i="30" s="1"/>
  <c r="F30" i="30" s="1"/>
  <c r="F31" i="30" s="1"/>
  <c r="F32" i="30" s="1"/>
  <c r="F33" i="30" s="1"/>
  <c r="F34" i="30" s="1"/>
  <c r="F35" i="30" s="1"/>
  <c r="F36" i="30" s="1"/>
  <c r="F37" i="30" s="1"/>
  <c r="F38" i="30" s="1"/>
  <c r="F39" i="30" s="1"/>
  <c r="F40" i="30" s="1"/>
  <c r="F41" i="30" s="1"/>
  <c r="F42" i="30" s="1"/>
  <c r="F43" i="30" s="1"/>
  <c r="W4" i="30"/>
  <c r="V4" i="30"/>
  <c r="J4" i="30"/>
  <c r="I4" i="30"/>
  <c r="I5" i="30" s="1"/>
  <c r="I6" i="30" s="1"/>
  <c r="I7" i="30" s="1"/>
  <c r="I8" i="30" s="1"/>
  <c r="I9" i="30" s="1"/>
  <c r="I10" i="30" s="1"/>
  <c r="I11" i="30" s="1"/>
  <c r="I12" i="30" s="1"/>
  <c r="I13" i="30" s="1"/>
  <c r="I14" i="30" s="1"/>
  <c r="I15" i="30" s="1"/>
  <c r="I16" i="30" s="1"/>
  <c r="I17" i="30" s="1"/>
  <c r="I18" i="30" s="1"/>
  <c r="I19" i="30" s="1"/>
  <c r="I20" i="30" s="1"/>
  <c r="I21" i="30" s="1"/>
  <c r="I22" i="30" s="1"/>
  <c r="I23" i="30" s="1"/>
  <c r="I24" i="30" s="1"/>
  <c r="I25" i="30" s="1"/>
  <c r="I26" i="30" s="1"/>
  <c r="I27" i="30" s="1"/>
  <c r="I28" i="30" s="1"/>
  <c r="I29" i="30" s="1"/>
  <c r="I30" i="30" s="1"/>
  <c r="I31" i="30" s="1"/>
  <c r="I32" i="30" s="1"/>
  <c r="I33" i="30" s="1"/>
  <c r="I34" i="30" s="1"/>
  <c r="I35" i="30" s="1"/>
  <c r="I36" i="30" s="1"/>
  <c r="I37" i="30" s="1"/>
  <c r="I38" i="30" s="1"/>
  <c r="I39" i="30" s="1"/>
  <c r="I40" i="30" s="1"/>
  <c r="I41" i="30" s="1"/>
  <c r="I42" i="30" s="1"/>
  <c r="I43" i="30" s="1"/>
  <c r="H4" i="30"/>
  <c r="H5" i="30" s="1"/>
  <c r="H6" i="30" s="1"/>
  <c r="H7" i="30" s="1"/>
  <c r="H8" i="30" s="1"/>
  <c r="H9" i="30" s="1"/>
  <c r="H10" i="30" s="1"/>
  <c r="H11" i="30" s="1"/>
  <c r="G4" i="30"/>
  <c r="F4" i="30"/>
  <c r="E4" i="30"/>
  <c r="E5" i="30" s="1"/>
  <c r="E6" i="30" s="1"/>
  <c r="E7" i="30" s="1"/>
  <c r="E8" i="30" s="1"/>
  <c r="E9" i="30" s="1"/>
  <c r="E10" i="30" s="1"/>
  <c r="E11" i="30" s="1"/>
  <c r="E12" i="30" s="1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D4" i="30"/>
  <c r="D5" i="30" s="1"/>
  <c r="D6" i="30" s="1"/>
  <c r="C3" i="30"/>
  <c r="B3" i="30" s="1"/>
  <c r="W40" i="27"/>
  <c r="W39" i="27"/>
  <c r="W38" i="27"/>
  <c r="W37" i="27"/>
  <c r="W36" i="27"/>
  <c r="W35" i="27"/>
  <c r="W34" i="27"/>
  <c r="W33" i="27"/>
  <c r="W32" i="27"/>
  <c r="W31" i="27"/>
  <c r="W30" i="27"/>
  <c r="W29" i="27"/>
  <c r="W28" i="27"/>
  <c r="W27" i="27"/>
  <c r="W26" i="27"/>
  <c r="W25" i="27"/>
  <c r="W24" i="27"/>
  <c r="W23" i="27"/>
  <c r="W22" i="27"/>
  <c r="W21" i="27"/>
  <c r="W20" i="27"/>
  <c r="W19" i="27"/>
  <c r="W18" i="27"/>
  <c r="W17" i="27"/>
  <c r="W16" i="27"/>
  <c r="W15" i="27"/>
  <c r="W14" i="27"/>
  <c r="W13" i="27"/>
  <c r="W12" i="27"/>
  <c r="W11" i="27"/>
  <c r="W10" i="27"/>
  <c r="W9" i="27"/>
  <c r="W8" i="27"/>
  <c r="W7" i="27"/>
  <c r="W6" i="27"/>
  <c r="W43" i="24"/>
  <c r="W42" i="24"/>
  <c r="W40" i="24"/>
  <c r="W39" i="24"/>
  <c r="W36" i="24"/>
  <c r="W31" i="24"/>
  <c r="W30" i="24"/>
  <c r="W29" i="24"/>
  <c r="W28" i="24"/>
  <c r="W27" i="24"/>
  <c r="W25" i="24"/>
  <c r="W24" i="24"/>
  <c r="W22" i="24"/>
  <c r="W21" i="24"/>
  <c r="W19" i="24"/>
  <c r="W18" i="24"/>
  <c r="W17" i="24"/>
  <c r="W16" i="24"/>
  <c r="W15" i="24"/>
  <c r="W13" i="24"/>
  <c r="W11" i="24"/>
  <c r="W10" i="24"/>
  <c r="W9" i="24"/>
  <c r="W8" i="24"/>
  <c r="W7" i="24"/>
  <c r="W6" i="24"/>
  <c r="W5" i="24"/>
  <c r="W4" i="24"/>
  <c r="W43" i="23"/>
  <c r="W41" i="23"/>
  <c r="W40" i="23"/>
  <c r="W38" i="23"/>
  <c r="W37" i="23"/>
  <c r="W36" i="23"/>
  <c r="W35" i="23"/>
  <c r="W32" i="23"/>
  <c r="W31" i="23"/>
  <c r="W30" i="23"/>
  <c r="W29" i="23"/>
  <c r="W28" i="23"/>
  <c r="W27" i="23"/>
  <c r="W26" i="23"/>
  <c r="W25" i="23"/>
  <c r="W24" i="23"/>
  <c r="W23" i="23"/>
  <c r="W22" i="23"/>
  <c r="W20" i="23"/>
  <c r="W19" i="23"/>
  <c r="W18" i="23"/>
  <c r="W17" i="23"/>
  <c r="W15" i="23"/>
  <c r="W12" i="23"/>
  <c r="W11" i="23"/>
  <c r="W10" i="23"/>
  <c r="W9" i="23"/>
  <c r="W8" i="23"/>
  <c r="W7" i="23"/>
  <c r="W6" i="23"/>
  <c r="W5" i="23"/>
  <c r="W43" i="22"/>
  <c r="W41" i="22"/>
  <c r="W39" i="22"/>
  <c r="W38" i="22"/>
  <c r="W37" i="22"/>
  <c r="W36" i="22"/>
  <c r="W32" i="22"/>
  <c r="W31" i="22"/>
  <c r="W30" i="22"/>
  <c r="W29" i="22"/>
  <c r="W28" i="22"/>
  <c r="W27" i="22"/>
  <c r="W26" i="22"/>
  <c r="W25" i="22"/>
  <c r="W24" i="22"/>
  <c r="W22" i="22"/>
  <c r="W21" i="22"/>
  <c r="W20" i="22"/>
  <c r="W19" i="22"/>
  <c r="W18" i="22"/>
  <c r="W17" i="22"/>
  <c r="W15" i="22"/>
  <c r="W12" i="22"/>
  <c r="W11" i="22"/>
  <c r="W10" i="22"/>
  <c r="W9" i="22"/>
  <c r="W8" i="22"/>
  <c r="W7" i="22"/>
  <c r="W6" i="22"/>
  <c r="W5" i="22"/>
  <c r="W43" i="20"/>
  <c r="W42" i="20"/>
  <c r="W41" i="20"/>
  <c r="W40" i="20"/>
  <c r="W39" i="20"/>
  <c r="W38" i="20"/>
  <c r="W37" i="20"/>
  <c r="W36" i="20"/>
  <c r="W34" i="20"/>
  <c r="W33" i="20"/>
  <c r="W32" i="20"/>
  <c r="W31" i="20"/>
  <c r="W30" i="20"/>
  <c r="W29" i="20"/>
  <c r="W28" i="20"/>
  <c r="W27" i="20"/>
  <c r="W26" i="20"/>
  <c r="W25" i="20"/>
  <c r="W24" i="20"/>
  <c r="W23" i="20"/>
  <c r="W22" i="20"/>
  <c r="W21" i="20"/>
  <c r="W19" i="20"/>
  <c r="W18" i="20"/>
  <c r="W17" i="20"/>
  <c r="W16" i="20"/>
  <c r="W15" i="20"/>
  <c r="W13" i="20"/>
  <c r="W11" i="20"/>
  <c r="W10" i="20"/>
  <c r="W9" i="20"/>
  <c r="W8" i="20"/>
  <c r="W7" i="20"/>
  <c r="W6" i="20"/>
  <c r="W5" i="20"/>
  <c r="W4" i="20"/>
  <c r="Y33" i="18"/>
  <c r="Y32" i="18"/>
  <c r="Y31" i="18"/>
  <c r="Y30" i="18"/>
  <c r="Y29" i="18"/>
  <c r="Y28" i="18"/>
  <c r="Y27" i="18"/>
  <c r="Y26" i="18"/>
  <c r="Y25" i="18"/>
  <c r="Y22" i="18"/>
  <c r="Y21" i="18"/>
  <c r="Y20" i="18"/>
  <c r="Y19" i="18"/>
  <c r="Y17" i="18"/>
  <c r="Y16" i="18"/>
  <c r="Y15" i="18"/>
  <c r="Y13" i="18"/>
  <c r="Y11" i="18"/>
  <c r="Y10" i="18"/>
  <c r="Y9" i="18"/>
  <c r="W43" i="17"/>
  <c r="W39" i="17"/>
  <c r="W38" i="17"/>
  <c r="W30" i="17"/>
  <c r="W29" i="17"/>
  <c r="W28" i="17"/>
  <c r="W27" i="17"/>
  <c r="W26" i="17"/>
  <c r="W24" i="17"/>
  <c r="W23" i="17"/>
  <c r="W20" i="17"/>
  <c r="W17" i="17"/>
  <c r="W16" i="17"/>
  <c r="W15" i="17"/>
  <c r="W11" i="17"/>
  <c r="W10" i="17"/>
  <c r="W9" i="17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" i="13"/>
  <c r="G6" i="25"/>
  <c r="G7" i="25"/>
  <c r="G8" i="25"/>
  <c r="G9" i="25"/>
  <c r="G10" i="25"/>
  <c r="G11" i="25"/>
  <c r="V5" i="29"/>
  <c r="V6" i="29"/>
  <c r="V7" i="29"/>
  <c r="V8" i="29"/>
  <c r="V9" i="29"/>
  <c r="V10" i="29"/>
  <c r="V11" i="29"/>
  <c r="V12" i="29"/>
  <c r="V13" i="29"/>
  <c r="V14" i="29"/>
  <c r="V15" i="29"/>
  <c r="V16" i="29"/>
  <c r="V17" i="29"/>
  <c r="V18" i="29"/>
  <c r="V19" i="29"/>
  <c r="V20" i="29"/>
  <c r="V21" i="29"/>
  <c r="V22" i="29"/>
  <c r="V23" i="29"/>
  <c r="V24" i="29"/>
  <c r="V25" i="29"/>
  <c r="V26" i="29"/>
  <c r="V27" i="29"/>
  <c r="V28" i="29"/>
  <c r="V29" i="29"/>
  <c r="V30" i="29"/>
  <c r="V31" i="29"/>
  <c r="V32" i="29"/>
  <c r="V33" i="29"/>
  <c r="V34" i="29"/>
  <c r="V35" i="29"/>
  <c r="V36" i="29"/>
  <c r="V37" i="29"/>
  <c r="V38" i="29"/>
  <c r="V39" i="29"/>
  <c r="V40" i="29"/>
  <c r="V41" i="29"/>
  <c r="V42" i="29"/>
  <c r="V43" i="29"/>
  <c r="V44" i="29"/>
  <c r="V4" i="29"/>
  <c r="H32" i="29"/>
  <c r="F17" i="29"/>
  <c r="C17" i="29" s="1"/>
  <c r="D9" i="29"/>
  <c r="J15" i="29"/>
  <c r="D4" i="29"/>
  <c r="J4" i="29"/>
  <c r="J5" i="29" s="1"/>
  <c r="J6" i="29" s="1"/>
  <c r="J7" i="29" s="1"/>
  <c r="J8" i="29" s="1"/>
  <c r="J9" i="29" s="1"/>
  <c r="J10" i="29" s="1"/>
  <c r="J11" i="29" s="1"/>
  <c r="J12" i="29" s="1"/>
  <c r="J13" i="29" s="1"/>
  <c r="J14" i="29" s="1"/>
  <c r="J16" i="29" s="1"/>
  <c r="J17" i="29" s="1"/>
  <c r="J18" i="29" s="1"/>
  <c r="J19" i="29" s="1"/>
  <c r="I4" i="29"/>
  <c r="I5" i="29" s="1"/>
  <c r="I6" i="29" s="1"/>
  <c r="I7" i="29" s="1"/>
  <c r="I8" i="29" s="1"/>
  <c r="I9" i="29" s="1"/>
  <c r="I10" i="29" s="1"/>
  <c r="I11" i="29" s="1"/>
  <c r="I12" i="29" s="1"/>
  <c r="I13" i="29" s="1"/>
  <c r="I14" i="29" s="1"/>
  <c r="I15" i="29" s="1"/>
  <c r="H4" i="29"/>
  <c r="H5" i="29" s="1"/>
  <c r="H6" i="29" s="1"/>
  <c r="H7" i="29" s="1"/>
  <c r="H8" i="29" s="1"/>
  <c r="H9" i="29" s="1"/>
  <c r="H10" i="29" s="1"/>
  <c r="H11" i="29" s="1"/>
  <c r="H12" i="29" s="1"/>
  <c r="H13" i="29" s="1"/>
  <c r="H14" i="29" s="1"/>
  <c r="H15" i="29" s="1"/>
  <c r="H16" i="29" s="1"/>
  <c r="H17" i="29" s="1"/>
  <c r="H18" i="29" s="1"/>
  <c r="H19" i="29" s="1"/>
  <c r="H20" i="29" s="1"/>
  <c r="H21" i="29" s="1"/>
  <c r="H22" i="29" s="1"/>
  <c r="H23" i="29" s="1"/>
  <c r="H24" i="29" s="1"/>
  <c r="H25" i="29" s="1"/>
  <c r="H26" i="29" s="1"/>
  <c r="H27" i="29" s="1"/>
  <c r="H28" i="29" s="1"/>
  <c r="H29" i="29" s="1"/>
  <c r="H30" i="29" s="1"/>
  <c r="H31" i="29" s="1"/>
  <c r="H33" i="29" s="1"/>
  <c r="H34" i="29" s="1"/>
  <c r="H35" i="29" s="1"/>
  <c r="H36" i="29" s="1"/>
  <c r="H37" i="29" s="1"/>
  <c r="H38" i="29" s="1"/>
  <c r="H39" i="29" s="1"/>
  <c r="H40" i="29" s="1"/>
  <c r="H41" i="29" s="1"/>
  <c r="H42" i="29" s="1"/>
  <c r="H43" i="29" s="1"/>
  <c r="H44" i="29" s="1"/>
  <c r="G4" i="29"/>
  <c r="G5" i="29" s="1"/>
  <c r="G6" i="29" s="1"/>
  <c r="G7" i="29" s="1"/>
  <c r="G8" i="29" s="1"/>
  <c r="G9" i="29" s="1"/>
  <c r="G10" i="29" s="1"/>
  <c r="G11" i="29" s="1"/>
  <c r="G12" i="29" s="1"/>
  <c r="G13" i="29" s="1"/>
  <c r="G14" i="29" s="1"/>
  <c r="G15" i="29" s="1"/>
  <c r="G16" i="29" s="1"/>
  <c r="G17" i="29" s="1"/>
  <c r="G18" i="29" s="1"/>
  <c r="G19" i="29" s="1"/>
  <c r="G20" i="29" s="1"/>
  <c r="G21" i="29" s="1"/>
  <c r="G22" i="29" s="1"/>
  <c r="G23" i="29" s="1"/>
  <c r="G24" i="29" s="1"/>
  <c r="G25" i="29" s="1"/>
  <c r="G26" i="29" s="1"/>
  <c r="F4" i="29"/>
  <c r="F5" i="29" s="1"/>
  <c r="F6" i="29" s="1"/>
  <c r="F7" i="29" s="1"/>
  <c r="F8" i="29" s="1"/>
  <c r="F9" i="29" s="1"/>
  <c r="F10" i="29" s="1"/>
  <c r="F11" i="29" s="1"/>
  <c r="F12" i="29" s="1"/>
  <c r="F13" i="29" s="1"/>
  <c r="F14" i="29" s="1"/>
  <c r="F15" i="29" s="1"/>
  <c r="F16" i="29" s="1"/>
  <c r="F18" i="29" s="1"/>
  <c r="F19" i="29" s="1"/>
  <c r="F20" i="29" s="1"/>
  <c r="F21" i="29" s="1"/>
  <c r="F22" i="29" s="1"/>
  <c r="F23" i="29" s="1"/>
  <c r="F24" i="29" s="1"/>
  <c r="F25" i="29" s="1"/>
  <c r="F26" i="29" s="1"/>
  <c r="F27" i="29" s="1"/>
  <c r="F28" i="29" s="1"/>
  <c r="F29" i="29" s="1"/>
  <c r="F30" i="29" s="1"/>
  <c r="F31" i="29" s="1"/>
  <c r="F32" i="29" s="1"/>
  <c r="F33" i="29" s="1"/>
  <c r="F34" i="29" s="1"/>
  <c r="F35" i="29" s="1"/>
  <c r="F36" i="29" s="1"/>
  <c r="F37" i="29" s="1"/>
  <c r="F38" i="29" s="1"/>
  <c r="F39" i="29" s="1"/>
  <c r="F40" i="29" s="1"/>
  <c r="F41" i="29" s="1"/>
  <c r="F42" i="29" s="1"/>
  <c r="F43" i="29" s="1"/>
  <c r="F44" i="29" s="1"/>
  <c r="E4" i="29"/>
  <c r="E5" i="29" s="1"/>
  <c r="E6" i="29" s="1"/>
  <c r="E7" i="29" s="1"/>
  <c r="E8" i="29" s="1"/>
  <c r="E9" i="29" s="1"/>
  <c r="C3" i="29"/>
  <c r="V49" i="29" s="1"/>
  <c r="AF51" i="29" s="1"/>
  <c r="O33" i="18"/>
  <c r="L33" i="18"/>
  <c r="O38" i="18"/>
  <c r="Y38" i="18" s="1"/>
  <c r="M40" i="27"/>
  <c r="O40" i="27" s="1"/>
  <c r="O43" i="27"/>
  <c r="O42" i="27"/>
  <c r="M43" i="27"/>
  <c r="W43" i="27" s="1"/>
  <c r="M42" i="27"/>
  <c r="O41" i="27"/>
  <c r="M41" i="27"/>
  <c r="V41" i="27" s="1"/>
  <c r="V23" i="27"/>
  <c r="C3" i="27"/>
  <c r="B3" i="27" s="1"/>
  <c r="E4" i="27"/>
  <c r="E5" i="27" s="1"/>
  <c r="E6" i="27" s="1"/>
  <c r="E7" i="27" s="1"/>
  <c r="E8" i="27" s="1"/>
  <c r="E9" i="27" s="1"/>
  <c r="E10" i="27" s="1"/>
  <c r="E11" i="27" s="1"/>
  <c r="E12" i="27" s="1"/>
  <c r="E13" i="27" s="1"/>
  <c r="E14" i="27" s="1"/>
  <c r="E15" i="27" s="1"/>
  <c r="E16" i="27" s="1"/>
  <c r="E17" i="27" s="1"/>
  <c r="F4" i="27"/>
  <c r="F5" i="27" s="1"/>
  <c r="F6" i="27" s="1"/>
  <c r="F7" i="27" s="1"/>
  <c r="F8" i="27" s="1"/>
  <c r="F9" i="27" s="1"/>
  <c r="F10" i="27" s="1"/>
  <c r="F11" i="27" s="1"/>
  <c r="F12" i="27" s="1"/>
  <c r="F13" i="27" s="1"/>
  <c r="F14" i="27" s="1"/>
  <c r="F15" i="27" s="1"/>
  <c r="F16" i="27" s="1"/>
  <c r="F17" i="27" s="1"/>
  <c r="H4" i="27"/>
  <c r="H5" i="27" s="1"/>
  <c r="H6" i="27" s="1"/>
  <c r="H7" i="27" s="1"/>
  <c r="H8" i="27" s="1"/>
  <c r="H9" i="27" s="1"/>
  <c r="H10" i="27" s="1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I4" i="27"/>
  <c r="I5" i="27" s="1"/>
  <c r="I6" i="27" s="1"/>
  <c r="I7" i="27" s="1"/>
  <c r="I8" i="27" s="1"/>
  <c r="I9" i="27" s="1"/>
  <c r="I10" i="27" s="1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J4" i="27"/>
  <c r="J5" i="27" s="1"/>
  <c r="J6" i="27" s="1"/>
  <c r="J7" i="27" s="1"/>
  <c r="J8" i="27" s="1"/>
  <c r="J9" i="27" s="1"/>
  <c r="J10" i="27" s="1"/>
  <c r="J11" i="27" s="1"/>
  <c r="J12" i="27" s="1"/>
  <c r="J13" i="27" s="1"/>
  <c r="J14" i="27" s="1"/>
  <c r="J15" i="27" s="1"/>
  <c r="J16" i="27" s="1"/>
  <c r="J17" i="27" s="1"/>
  <c r="J18" i="27" s="1"/>
  <c r="K4" i="27"/>
  <c r="D4" i="27" s="1"/>
  <c r="N4" i="27"/>
  <c r="G4" i="27" s="1"/>
  <c r="K5" i="27"/>
  <c r="W5" i="27" s="1"/>
  <c r="N5" i="27"/>
  <c r="V5" i="27" s="1"/>
  <c r="V6" i="27"/>
  <c r="V7" i="27"/>
  <c r="V8" i="27"/>
  <c r="V9" i="27"/>
  <c r="V10" i="27"/>
  <c r="V11" i="27"/>
  <c r="V12" i="27"/>
  <c r="V13" i="27"/>
  <c r="V14" i="27"/>
  <c r="V15" i="27"/>
  <c r="V17" i="27"/>
  <c r="V20" i="27"/>
  <c r="V21" i="27"/>
  <c r="V22" i="27"/>
  <c r="V24" i="27"/>
  <c r="V25" i="27"/>
  <c r="V26" i="27"/>
  <c r="V27" i="27"/>
  <c r="V28" i="27"/>
  <c r="V29" i="27"/>
  <c r="V30" i="27"/>
  <c r="V32" i="27"/>
  <c r="V33" i="27"/>
  <c r="V34" i="27"/>
  <c r="V35" i="27"/>
  <c r="V36" i="27"/>
  <c r="V37" i="27"/>
  <c r="V38" i="27"/>
  <c r="V39" i="27"/>
  <c r="I5" i="24"/>
  <c r="I6" i="24" s="1"/>
  <c r="I7" i="24" s="1"/>
  <c r="I8" i="24" s="1"/>
  <c r="I9" i="24" s="1"/>
  <c r="I10" i="24" s="1"/>
  <c r="I11" i="24" s="1"/>
  <c r="I12" i="24" s="1"/>
  <c r="I13" i="24" s="1"/>
  <c r="I14" i="24" s="1"/>
  <c r="I15" i="24" s="1"/>
  <c r="G5" i="24"/>
  <c r="G6" i="24" s="1"/>
  <c r="G7" i="24" s="1"/>
  <c r="G8" i="24" s="1"/>
  <c r="G9" i="24" s="1"/>
  <c r="G10" i="24" s="1"/>
  <c r="G11" i="24" s="1"/>
  <c r="G12" i="24" s="1"/>
  <c r="G13" i="24" s="1"/>
  <c r="G14" i="24" s="1"/>
  <c r="G15" i="24" s="1"/>
  <c r="G16" i="24" s="1"/>
  <c r="G17" i="24" s="1"/>
  <c r="G18" i="24" s="1"/>
  <c r="G19" i="24" s="1"/>
  <c r="G20" i="24" s="1"/>
  <c r="G21" i="24" s="1"/>
  <c r="G22" i="24" s="1"/>
  <c r="G23" i="24" s="1"/>
  <c r="G24" i="24" s="1"/>
  <c r="G25" i="24" s="1"/>
  <c r="G26" i="24" s="1"/>
  <c r="F5" i="24"/>
  <c r="F6" i="24" s="1"/>
  <c r="F7" i="24" s="1"/>
  <c r="F8" i="24" s="1"/>
  <c r="F9" i="24" s="1"/>
  <c r="F10" i="24" s="1"/>
  <c r="F11" i="24" s="1"/>
  <c r="E4" i="24"/>
  <c r="E5" i="24" s="1"/>
  <c r="E6" i="24" s="1"/>
  <c r="E7" i="24" s="1"/>
  <c r="E8" i="24" s="1"/>
  <c r="E9" i="24" s="1"/>
  <c r="F4" i="24"/>
  <c r="G4" i="24"/>
  <c r="H4" i="24"/>
  <c r="H5" i="24" s="1"/>
  <c r="H6" i="24" s="1"/>
  <c r="H7" i="24" s="1"/>
  <c r="H8" i="24" s="1"/>
  <c r="H9" i="24" s="1"/>
  <c r="H10" i="24" s="1"/>
  <c r="H11" i="24" s="1"/>
  <c r="I4" i="24"/>
  <c r="J4" i="24"/>
  <c r="J5" i="24" s="1"/>
  <c r="J6" i="24" s="1"/>
  <c r="J7" i="24" s="1"/>
  <c r="J8" i="24" s="1"/>
  <c r="J9" i="24" s="1"/>
  <c r="J10" i="24" s="1"/>
  <c r="J11" i="24" s="1"/>
  <c r="J12" i="24" s="1"/>
  <c r="J13" i="24" s="1"/>
  <c r="J14" i="24" s="1"/>
  <c r="D4" i="24"/>
  <c r="D5" i="24" s="1"/>
  <c r="D6" i="24" s="1"/>
  <c r="D7" i="24" s="1"/>
  <c r="D8" i="24" s="1"/>
  <c r="D9" i="24" s="1"/>
  <c r="Q42" i="23"/>
  <c r="O42" i="23"/>
  <c r="W42" i="23" s="1"/>
  <c r="O39" i="23"/>
  <c r="M39" i="23"/>
  <c r="N39" i="23"/>
  <c r="N33" i="23"/>
  <c r="K33" i="23"/>
  <c r="W33" i="23" s="1"/>
  <c r="E4" i="23"/>
  <c r="E5" i="23" s="1"/>
  <c r="E6" i="23" s="1"/>
  <c r="E7" i="23" s="1"/>
  <c r="E8" i="23" s="1"/>
  <c r="E9" i="23" s="1"/>
  <c r="E10" i="23" s="1"/>
  <c r="E11" i="23" s="1"/>
  <c r="E12" i="23" s="1"/>
  <c r="E13" i="23" s="1"/>
  <c r="F4" i="23"/>
  <c r="F5" i="23" s="1"/>
  <c r="F6" i="23" s="1"/>
  <c r="F7" i="23" s="1"/>
  <c r="F8" i="23" s="1"/>
  <c r="F9" i="23" s="1"/>
  <c r="F10" i="23" s="1"/>
  <c r="F11" i="23" s="1"/>
  <c r="F12" i="23" s="1"/>
  <c r="H4" i="23"/>
  <c r="H5" i="23" s="1"/>
  <c r="H6" i="23" s="1"/>
  <c r="H7" i="23" s="1"/>
  <c r="H8" i="23" s="1"/>
  <c r="H9" i="23" s="1"/>
  <c r="H10" i="23" s="1"/>
  <c r="H11" i="23" s="1"/>
  <c r="H12" i="23" s="1"/>
  <c r="I4" i="23"/>
  <c r="I5" i="23" s="1"/>
  <c r="I6" i="23" s="1"/>
  <c r="I7" i="23" s="1"/>
  <c r="I8" i="23" s="1"/>
  <c r="I9" i="23" s="1"/>
  <c r="I10" i="23" s="1"/>
  <c r="I11" i="23" s="1"/>
  <c r="I12" i="23" s="1"/>
  <c r="I13" i="23" s="1"/>
  <c r="I14" i="23" s="1"/>
  <c r="I15" i="23" s="1"/>
  <c r="I16" i="23" s="1"/>
  <c r="J4" i="23"/>
  <c r="J5" i="23" s="1"/>
  <c r="J6" i="23" s="1"/>
  <c r="J7" i="23" s="1"/>
  <c r="J8" i="23" s="1"/>
  <c r="J9" i="23" s="1"/>
  <c r="J10" i="23" s="1"/>
  <c r="J11" i="23" s="1"/>
  <c r="J12" i="23" s="1"/>
  <c r="J13" i="23" s="1"/>
  <c r="J14" i="23" s="1"/>
  <c r="J15" i="23" s="1"/>
  <c r="J16" i="23" s="1"/>
  <c r="M42" i="22"/>
  <c r="Q40" i="22"/>
  <c r="N40" i="22"/>
  <c r="W40" i="22" s="1"/>
  <c r="N33" i="22"/>
  <c r="K33" i="22"/>
  <c r="W33" i="22" s="1"/>
  <c r="N23" i="22"/>
  <c r="W23" i="22" s="1"/>
  <c r="E5" i="22"/>
  <c r="E6" i="22" s="1"/>
  <c r="E7" i="22" s="1"/>
  <c r="E8" i="22" s="1"/>
  <c r="E9" i="22" s="1"/>
  <c r="E10" i="22" s="1"/>
  <c r="E11" i="22" s="1"/>
  <c r="E12" i="22" s="1"/>
  <c r="E13" i="22" s="1"/>
  <c r="E4" i="22"/>
  <c r="F4" i="22"/>
  <c r="F5" i="22" s="1"/>
  <c r="F6" i="22" s="1"/>
  <c r="F7" i="22" s="1"/>
  <c r="F8" i="22" s="1"/>
  <c r="F9" i="22" s="1"/>
  <c r="F10" i="22" s="1"/>
  <c r="F11" i="22" s="1"/>
  <c r="F12" i="22" s="1"/>
  <c r="H4" i="22"/>
  <c r="H5" i="22" s="1"/>
  <c r="H6" i="22" s="1"/>
  <c r="H7" i="22" s="1"/>
  <c r="H8" i="22" s="1"/>
  <c r="H9" i="22" s="1"/>
  <c r="H10" i="22" s="1"/>
  <c r="H11" i="22" s="1"/>
  <c r="H12" i="22" s="1"/>
  <c r="I4" i="22"/>
  <c r="I5" i="22" s="1"/>
  <c r="I6" i="22" s="1"/>
  <c r="I7" i="22" s="1"/>
  <c r="I8" i="22" s="1"/>
  <c r="I9" i="22" s="1"/>
  <c r="I10" i="22" s="1"/>
  <c r="I11" i="22" s="1"/>
  <c r="I12" i="22" s="1"/>
  <c r="J4" i="22"/>
  <c r="J5" i="22" s="1"/>
  <c r="J6" i="22" s="1"/>
  <c r="J7" i="22" s="1"/>
  <c r="J8" i="22" s="1"/>
  <c r="J9" i="22" s="1"/>
  <c r="J10" i="22" s="1"/>
  <c r="J11" i="22" s="1"/>
  <c r="J12" i="22" s="1"/>
  <c r="D4" i="22"/>
  <c r="D5" i="22" s="1"/>
  <c r="D6" i="22" s="1"/>
  <c r="D7" i="22" s="1"/>
  <c r="D8" i="22" s="1"/>
  <c r="D9" i="22" s="1"/>
  <c r="D10" i="22" s="1"/>
  <c r="D11" i="22" s="1"/>
  <c r="D12" i="22" s="1"/>
  <c r="D13" i="22" s="1"/>
  <c r="D14" i="22" s="1"/>
  <c r="D15" i="22" s="1"/>
  <c r="D16" i="22" s="1"/>
  <c r="D17" i="22" s="1"/>
  <c r="D18" i="22" s="1"/>
  <c r="V43" i="17"/>
  <c r="E4" i="20"/>
  <c r="E5" i="20" s="1"/>
  <c r="E6" i="20" s="1"/>
  <c r="E7" i="20" s="1"/>
  <c r="E8" i="20" s="1"/>
  <c r="F4" i="20"/>
  <c r="F5" i="20" s="1"/>
  <c r="F6" i="20" s="1"/>
  <c r="F7" i="20" s="1"/>
  <c r="F8" i="20" s="1"/>
  <c r="F9" i="20" s="1"/>
  <c r="F10" i="20" s="1"/>
  <c r="F11" i="20" s="1"/>
  <c r="G4" i="20"/>
  <c r="G5" i="20" s="1"/>
  <c r="G6" i="20" s="1"/>
  <c r="G7" i="20" s="1"/>
  <c r="G8" i="20" s="1"/>
  <c r="G9" i="20" s="1"/>
  <c r="G10" i="20" s="1"/>
  <c r="G11" i="20" s="1"/>
  <c r="G12" i="20" s="1"/>
  <c r="G13" i="20" s="1"/>
  <c r="G14" i="20" s="1"/>
  <c r="G15" i="20" s="1"/>
  <c r="G16" i="20" s="1"/>
  <c r="G17" i="20" s="1"/>
  <c r="G18" i="20" s="1"/>
  <c r="G19" i="20" s="1"/>
  <c r="G20" i="20" s="1"/>
  <c r="G21" i="20" s="1"/>
  <c r="G22" i="20" s="1"/>
  <c r="G23" i="20" s="1"/>
  <c r="G24" i="20" s="1"/>
  <c r="G25" i="20" s="1"/>
  <c r="G26" i="20" s="1"/>
  <c r="G27" i="20" s="1"/>
  <c r="G28" i="20" s="1"/>
  <c r="H4" i="20"/>
  <c r="H5" i="20" s="1"/>
  <c r="H6" i="20" s="1"/>
  <c r="H7" i="20" s="1"/>
  <c r="H8" i="20" s="1"/>
  <c r="H9" i="20" s="1"/>
  <c r="H10" i="20" s="1"/>
  <c r="H11" i="20" s="1"/>
  <c r="I4" i="20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J4" i="20"/>
  <c r="J5" i="20" s="1"/>
  <c r="J6" i="20" s="1"/>
  <c r="J7" i="20" s="1"/>
  <c r="J8" i="20" s="1"/>
  <c r="J9" i="20" s="1"/>
  <c r="J10" i="20" s="1"/>
  <c r="J11" i="20" s="1"/>
  <c r="J12" i="20" s="1"/>
  <c r="J13" i="20" s="1"/>
  <c r="J14" i="20" s="1"/>
  <c r="J15" i="20" s="1"/>
  <c r="D4" i="20"/>
  <c r="D5" i="20" s="1"/>
  <c r="D6" i="20" s="1"/>
  <c r="D7" i="20" s="1"/>
  <c r="D8" i="20" s="1"/>
  <c r="S26" i="18"/>
  <c r="O18" i="18"/>
  <c r="Y18" i="18" s="1"/>
  <c r="L14" i="18"/>
  <c r="S22" i="18"/>
  <c r="Q22" i="18"/>
  <c r="S24" i="18"/>
  <c r="Q24" i="18"/>
  <c r="Y24" i="18" s="1"/>
  <c r="S23" i="18"/>
  <c r="Q23" i="18"/>
  <c r="Y23" i="18" s="1"/>
  <c r="K4" i="18"/>
  <c r="K5" i="18" s="1"/>
  <c r="K6" i="18" s="1"/>
  <c r="K7" i="18" s="1"/>
  <c r="K8" i="18" s="1"/>
  <c r="K9" i="18" s="1"/>
  <c r="K10" i="18" s="1"/>
  <c r="K11" i="18" s="1"/>
  <c r="K12" i="18" s="1"/>
  <c r="K13" i="18" s="1"/>
  <c r="K14" i="18" s="1"/>
  <c r="E4" i="18"/>
  <c r="E5" i="18" s="1"/>
  <c r="E6" i="18" s="1"/>
  <c r="E7" i="18" s="1"/>
  <c r="E8" i="18" s="1"/>
  <c r="E9" i="18" s="1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F4" i="18"/>
  <c r="F5" i="18" s="1"/>
  <c r="F6" i="18" s="1"/>
  <c r="F7" i="18" s="1"/>
  <c r="F8" i="18" s="1"/>
  <c r="F9" i="18" s="1"/>
  <c r="F10" i="18" s="1"/>
  <c r="F11" i="18" s="1"/>
  <c r="H4" i="18"/>
  <c r="H5" i="18" s="1"/>
  <c r="H6" i="18" s="1"/>
  <c r="H7" i="18" s="1"/>
  <c r="H8" i="18" s="1"/>
  <c r="H9" i="18" s="1"/>
  <c r="H10" i="18" s="1"/>
  <c r="H11" i="18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J4" i="18"/>
  <c r="J5" i="18" s="1"/>
  <c r="J6" i="18" s="1"/>
  <c r="J7" i="18" s="1"/>
  <c r="J8" i="18" s="1"/>
  <c r="J9" i="18" s="1"/>
  <c r="J10" i="18" s="1"/>
  <c r="J11" i="18" s="1"/>
  <c r="O42" i="17"/>
  <c r="W42" i="17" s="1"/>
  <c r="M41" i="17"/>
  <c r="P35" i="17"/>
  <c r="N35" i="17"/>
  <c r="W35" i="17" s="1"/>
  <c r="Q18" i="17"/>
  <c r="K18" i="17"/>
  <c r="W18" i="17" s="1"/>
  <c r="K14" i="17"/>
  <c r="M13" i="17"/>
  <c r="E4" i="17"/>
  <c r="E5" i="17" s="1"/>
  <c r="E6" i="17" s="1"/>
  <c r="E7" i="17" s="1"/>
  <c r="E8" i="17" s="1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F4" i="17"/>
  <c r="F5" i="17" s="1"/>
  <c r="F6" i="17" s="1"/>
  <c r="F7" i="17" s="1"/>
  <c r="F8" i="17" s="1"/>
  <c r="F9" i="17" s="1"/>
  <c r="F10" i="17" s="1"/>
  <c r="F11" i="17" s="1"/>
  <c r="H4" i="17"/>
  <c r="H5" i="17" s="1"/>
  <c r="H6" i="17" s="1"/>
  <c r="H7" i="17" s="1"/>
  <c r="H8" i="17" s="1"/>
  <c r="H9" i="17" s="1"/>
  <c r="H10" i="17" s="1"/>
  <c r="H11" i="17" s="1"/>
  <c r="I4" i="17"/>
  <c r="I5" i="17" s="1"/>
  <c r="I6" i="17" s="1"/>
  <c r="I7" i="17" s="1"/>
  <c r="I8" i="17" s="1"/>
  <c r="I9" i="17" s="1"/>
  <c r="I10" i="17" s="1"/>
  <c r="I11" i="17" s="1"/>
  <c r="I12" i="17" s="1"/>
  <c r="I13" i="17" s="1"/>
  <c r="I14" i="17" s="1"/>
  <c r="I15" i="17" s="1"/>
  <c r="J4" i="17"/>
  <c r="J5" i="17" s="1"/>
  <c r="J6" i="17" s="1"/>
  <c r="J7" i="17" s="1"/>
  <c r="J8" i="17" s="1"/>
  <c r="J9" i="17" s="1"/>
  <c r="J10" i="17" s="1"/>
  <c r="J11" i="17" s="1"/>
  <c r="J4" i="13"/>
  <c r="J5" i="13" s="1"/>
  <c r="J6" i="13" s="1"/>
  <c r="J7" i="13" s="1"/>
  <c r="J8" i="13" s="1"/>
  <c r="J9" i="13" s="1"/>
  <c r="J10" i="13" s="1"/>
  <c r="J11" i="13" s="1"/>
  <c r="I4" i="13"/>
  <c r="I5" i="13" s="1"/>
  <c r="I6" i="13" s="1"/>
  <c r="H4" i="13"/>
  <c r="H5" i="13" s="1"/>
  <c r="H6" i="13" s="1"/>
  <c r="H7" i="13" s="1"/>
  <c r="H8" i="13" s="1"/>
  <c r="F4" i="13"/>
  <c r="F5" i="13" s="1"/>
  <c r="F6" i="13" s="1"/>
  <c r="F7" i="13" s="1"/>
  <c r="F8" i="13" s="1"/>
  <c r="F9" i="13" s="1"/>
  <c r="F10" i="13" s="1"/>
  <c r="F11" i="13" s="1"/>
  <c r="E4" i="13"/>
  <c r="E5" i="13" s="1"/>
  <c r="E6" i="13" s="1"/>
  <c r="E7" i="13" s="1"/>
  <c r="E8" i="13" s="1"/>
  <c r="E9" i="13" s="1"/>
  <c r="P42" i="18"/>
  <c r="Y42" i="18" s="1"/>
  <c r="H9" i="13" l="1"/>
  <c r="H10" i="13" s="1"/>
  <c r="H11" i="13" s="1"/>
  <c r="I7" i="13"/>
  <c r="I8" i="13" s="1"/>
  <c r="I9" i="13" s="1"/>
  <c r="I10" i="13" s="1"/>
  <c r="I11" i="13" s="1"/>
  <c r="W45" i="13"/>
  <c r="H5" i="25" s="1"/>
  <c r="I5" i="25" s="1"/>
  <c r="I4" i="25"/>
  <c r="W39" i="23"/>
  <c r="W33" i="30"/>
  <c r="C6" i="30"/>
  <c r="B6" i="30" s="1"/>
  <c r="V14" i="30"/>
  <c r="W20" i="30"/>
  <c r="W32" i="30"/>
  <c r="V32" i="30"/>
  <c r="W17" i="30"/>
  <c r="V17" i="30"/>
  <c r="W40" i="30"/>
  <c r="V40" i="30"/>
  <c r="M45" i="30"/>
  <c r="W35" i="30"/>
  <c r="V35" i="30"/>
  <c r="W14" i="30"/>
  <c r="V16" i="30"/>
  <c r="W16" i="30"/>
  <c r="D7" i="30"/>
  <c r="H12" i="30"/>
  <c r="H13" i="30" s="1"/>
  <c r="H14" i="30" s="1"/>
  <c r="H15" i="30" s="1"/>
  <c r="H16" i="30" s="1"/>
  <c r="H17" i="30" s="1"/>
  <c r="H18" i="30" s="1"/>
  <c r="H19" i="30" s="1"/>
  <c r="H20" i="30" s="1"/>
  <c r="H21" i="30" s="1"/>
  <c r="H22" i="30" s="1"/>
  <c r="H23" i="30" s="1"/>
  <c r="H24" i="30" s="1"/>
  <c r="H25" i="30" s="1"/>
  <c r="H26" i="30" s="1"/>
  <c r="H27" i="30" s="1"/>
  <c r="H28" i="30" s="1"/>
  <c r="H29" i="30" s="1"/>
  <c r="H30" i="30" s="1"/>
  <c r="H31" i="30" s="1"/>
  <c r="H32" i="30" s="1"/>
  <c r="H33" i="30" s="1"/>
  <c r="H34" i="30" s="1"/>
  <c r="H35" i="30" s="1"/>
  <c r="H36" i="30" s="1"/>
  <c r="H37" i="30" s="1"/>
  <c r="H38" i="30" s="1"/>
  <c r="H39" i="30" s="1"/>
  <c r="H40" i="30" s="1"/>
  <c r="H41" i="30" s="1"/>
  <c r="H42" i="30" s="1"/>
  <c r="H43" i="30" s="1"/>
  <c r="W8" i="30"/>
  <c r="V8" i="30"/>
  <c r="V13" i="30"/>
  <c r="V31" i="30"/>
  <c r="C4" i="30"/>
  <c r="B4" i="30" s="1"/>
  <c r="C5" i="30"/>
  <c r="B5" i="30" s="1"/>
  <c r="W36" i="30"/>
  <c r="V36" i="30"/>
  <c r="V23" i="30"/>
  <c r="V37" i="30"/>
  <c r="V38" i="30"/>
  <c r="V18" i="30"/>
  <c r="V19" i="30"/>
  <c r="Q45" i="30"/>
  <c r="V41" i="30"/>
  <c r="V51" i="30"/>
  <c r="AG53" i="30" s="1"/>
  <c r="V20" i="30"/>
  <c r="V42" i="30"/>
  <c r="K45" i="30"/>
  <c r="V43" i="30"/>
  <c r="V42" i="27"/>
  <c r="C4" i="27"/>
  <c r="B4" i="27" s="1"/>
  <c r="V43" i="27"/>
  <c r="W41" i="27"/>
  <c r="W4" i="27"/>
  <c r="W42" i="27"/>
  <c r="V4" i="27"/>
  <c r="J15" i="24"/>
  <c r="J16" i="24" s="1"/>
  <c r="J17" i="24" s="1"/>
  <c r="J18" i="24" s="1"/>
  <c r="J19" i="24" s="1"/>
  <c r="J20" i="24" s="1"/>
  <c r="J21" i="24" s="1"/>
  <c r="J22" i="24" s="1"/>
  <c r="G28" i="24"/>
  <c r="G29" i="24" s="1"/>
  <c r="G30" i="24" s="1"/>
  <c r="G31" i="24" s="1"/>
  <c r="G27" i="24"/>
  <c r="H13" i="23"/>
  <c r="E9" i="20"/>
  <c r="E10" i="20" s="1"/>
  <c r="E11" i="20" s="1"/>
  <c r="E12" i="20" s="1"/>
  <c r="E13" i="20" s="1"/>
  <c r="D9" i="20"/>
  <c r="D10" i="20" s="1"/>
  <c r="D11" i="20" s="1"/>
  <c r="D12" i="20" s="1"/>
  <c r="D13" i="20" s="1"/>
  <c r="G29" i="20"/>
  <c r="G30" i="20" s="1"/>
  <c r="G31" i="20" s="1"/>
  <c r="G32" i="20" s="1"/>
  <c r="G33" i="20" s="1"/>
  <c r="G34" i="20" s="1"/>
  <c r="G35" i="20" s="1"/>
  <c r="G36" i="20" s="1"/>
  <c r="G37" i="20" s="1"/>
  <c r="G38" i="20" s="1"/>
  <c r="G39" i="20" s="1"/>
  <c r="G40" i="20" s="1"/>
  <c r="G41" i="20" s="1"/>
  <c r="G42" i="20" s="1"/>
  <c r="G43" i="20" s="1"/>
  <c r="K16" i="18"/>
  <c r="K17" i="18" s="1"/>
  <c r="K18" i="18" s="1"/>
  <c r="K19" i="18" s="1"/>
  <c r="K20" i="18" s="1"/>
  <c r="K21" i="18" s="1"/>
  <c r="K22" i="18" s="1"/>
  <c r="K23" i="18" s="1"/>
  <c r="K24" i="18" s="1"/>
  <c r="K25" i="18" s="1"/>
  <c r="K26" i="18" s="1"/>
  <c r="K27" i="18" s="1"/>
  <c r="K28" i="18" s="1"/>
  <c r="K15" i="18"/>
  <c r="V49" i="27"/>
  <c r="AG51" i="27" s="1"/>
  <c r="G5" i="27"/>
  <c r="G6" i="27" s="1"/>
  <c r="G7" i="27" s="1"/>
  <c r="G8" i="27" s="1"/>
  <c r="G9" i="27" s="1"/>
  <c r="G10" i="27" s="1"/>
  <c r="G11" i="27" s="1"/>
  <c r="G12" i="27" s="1"/>
  <c r="G13" i="27" s="1"/>
  <c r="G14" i="27" s="1"/>
  <c r="G15" i="27" s="1"/>
  <c r="G16" i="27" s="1"/>
  <c r="G17" i="27" s="1"/>
  <c r="G18" i="27" s="1"/>
  <c r="G19" i="27" s="1"/>
  <c r="G20" i="27" s="1"/>
  <c r="G21" i="27" s="1"/>
  <c r="G22" i="27" s="1"/>
  <c r="G23" i="27" s="1"/>
  <c r="G24" i="27" s="1"/>
  <c r="G25" i="27" s="1"/>
  <c r="G26" i="27" s="1"/>
  <c r="G27" i="27" s="1"/>
  <c r="G28" i="27" s="1"/>
  <c r="G29" i="27" s="1"/>
  <c r="G30" i="27" s="1"/>
  <c r="G31" i="27" s="1"/>
  <c r="G32" i="27" s="1"/>
  <c r="G33" i="27" s="1"/>
  <c r="G34" i="27" s="1"/>
  <c r="G35" i="27" s="1"/>
  <c r="G36" i="27" s="1"/>
  <c r="G37" i="27" s="1"/>
  <c r="G38" i="27" s="1"/>
  <c r="G39" i="27" s="1"/>
  <c r="G40" i="27" s="1"/>
  <c r="G41" i="27" s="1"/>
  <c r="G42" i="27" s="1"/>
  <c r="G43" i="27" s="1"/>
  <c r="G44" i="27" s="1"/>
  <c r="H40" i="27"/>
  <c r="H41" i="27" s="1"/>
  <c r="H42" i="27" s="1"/>
  <c r="H43" i="27" s="1"/>
  <c r="H44" i="27" s="1"/>
  <c r="V40" i="27"/>
  <c r="F18" i="27"/>
  <c r="F19" i="27" s="1"/>
  <c r="F20" i="27" s="1"/>
  <c r="F21" i="27" s="1"/>
  <c r="F22" i="27" s="1"/>
  <c r="F23" i="27" s="1"/>
  <c r="F24" i="27" s="1"/>
  <c r="F25" i="27" s="1"/>
  <c r="F26" i="27" s="1"/>
  <c r="F27" i="27" s="1"/>
  <c r="F28" i="27" s="1"/>
  <c r="F29" i="27" s="1"/>
  <c r="F30" i="27" s="1"/>
  <c r="F31" i="27" s="1"/>
  <c r="F32" i="27" s="1"/>
  <c r="F33" i="27" s="1"/>
  <c r="F34" i="27" s="1"/>
  <c r="F35" i="27" s="1"/>
  <c r="F36" i="27" s="1"/>
  <c r="F37" i="27" s="1"/>
  <c r="F38" i="27" s="1"/>
  <c r="F39" i="27" s="1"/>
  <c r="F40" i="27" s="1"/>
  <c r="F41" i="27" s="1"/>
  <c r="F42" i="27" s="1"/>
  <c r="F43" i="27" s="1"/>
  <c r="F44" i="27" s="1"/>
  <c r="E10" i="29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G27" i="29"/>
  <c r="G28" i="29" s="1"/>
  <c r="G29" i="29" s="1"/>
  <c r="G30" i="29" s="1"/>
  <c r="G31" i="29" s="1"/>
  <c r="G32" i="29" s="1"/>
  <c r="G33" i="29" s="1"/>
  <c r="G34" i="29" s="1"/>
  <c r="G35" i="29" s="1"/>
  <c r="G36" i="29" s="1"/>
  <c r="G37" i="29" s="1"/>
  <c r="G38" i="29" s="1"/>
  <c r="G39" i="29" s="1"/>
  <c r="G40" i="29" s="1"/>
  <c r="G41" i="29" s="1"/>
  <c r="G42" i="29" s="1"/>
  <c r="G43" i="29" s="1"/>
  <c r="G44" i="29" s="1"/>
  <c r="I16" i="29"/>
  <c r="I17" i="29" s="1"/>
  <c r="I18" i="29" s="1"/>
  <c r="I19" i="29" s="1"/>
  <c r="I20" i="29" s="1"/>
  <c r="V48" i="29"/>
  <c r="AF52" i="29" s="1"/>
  <c r="C4" i="29"/>
  <c r="B4" i="29" s="1"/>
  <c r="D5" i="29"/>
  <c r="J20" i="29"/>
  <c r="J21" i="29" s="1"/>
  <c r="J22" i="29" s="1"/>
  <c r="J23" i="29" s="1"/>
  <c r="J24" i="29" s="1"/>
  <c r="J25" i="29" s="1"/>
  <c r="J26" i="29" s="1"/>
  <c r="J27" i="29" s="1"/>
  <c r="J28" i="29" s="1"/>
  <c r="J29" i="29" s="1"/>
  <c r="J30" i="29" s="1"/>
  <c r="J31" i="29" s="1"/>
  <c r="B3" i="29"/>
  <c r="V31" i="27"/>
  <c r="I23" i="27"/>
  <c r="I24" i="27" s="1"/>
  <c r="I25" i="27" s="1"/>
  <c r="I26" i="27" s="1"/>
  <c r="I27" i="27" s="1"/>
  <c r="I28" i="27" s="1"/>
  <c r="I29" i="27" s="1"/>
  <c r="I30" i="27" s="1"/>
  <c r="I31" i="27" s="1"/>
  <c r="I32" i="27" s="1"/>
  <c r="I33" i="27" s="1"/>
  <c r="I34" i="27" s="1"/>
  <c r="I35" i="27" s="1"/>
  <c r="I36" i="27" s="1"/>
  <c r="I37" i="27" s="1"/>
  <c r="I38" i="27" s="1"/>
  <c r="I39" i="27" s="1"/>
  <c r="I40" i="27" s="1"/>
  <c r="I41" i="27" s="1"/>
  <c r="I42" i="27" s="1"/>
  <c r="I43" i="27" s="1"/>
  <c r="I44" i="27" s="1"/>
  <c r="J19" i="27"/>
  <c r="J20" i="27" s="1"/>
  <c r="J21" i="27" s="1"/>
  <c r="J22" i="27" s="1"/>
  <c r="J23" i="27" s="1"/>
  <c r="J24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V18" i="27"/>
  <c r="E18" i="27"/>
  <c r="V16" i="27"/>
  <c r="D5" i="27"/>
  <c r="I16" i="24"/>
  <c r="I17" i="24" s="1"/>
  <c r="I18" i="24" s="1"/>
  <c r="I19" i="24" s="1"/>
  <c r="E10" i="24"/>
  <c r="E11" i="24" s="1"/>
  <c r="E12" i="24" s="1"/>
  <c r="E13" i="24" s="1"/>
  <c r="D10" i="24"/>
  <c r="D11" i="24" s="1"/>
  <c r="D12" i="24" s="1"/>
  <c r="D13" i="24" s="1"/>
  <c r="J17" i="23"/>
  <c r="J18" i="23" s="1"/>
  <c r="J19" i="23" s="1"/>
  <c r="J20" i="23" s="1"/>
  <c r="J21" i="23" s="1"/>
  <c r="J22" i="23" s="1"/>
  <c r="J23" i="23" s="1"/>
  <c r="J24" i="23" s="1"/>
  <c r="J25" i="23" s="1"/>
  <c r="J26" i="23" s="1"/>
  <c r="J27" i="23" s="1"/>
  <c r="J28" i="23" s="1"/>
  <c r="J29" i="23" s="1"/>
  <c r="J30" i="23" s="1"/>
  <c r="J31" i="23" s="1"/>
  <c r="I17" i="23"/>
  <c r="I18" i="23" s="1"/>
  <c r="I19" i="23" s="1"/>
  <c r="I20" i="23" s="1"/>
  <c r="I21" i="23" s="1"/>
  <c r="I22" i="23" s="1"/>
  <c r="E14" i="23"/>
  <c r="E15" i="23" s="1"/>
  <c r="E16" i="23" s="1"/>
  <c r="E17" i="23" s="1"/>
  <c r="E18" i="23" s="1"/>
  <c r="E19" i="23" s="1"/>
  <c r="E20" i="23" s="1"/>
  <c r="J13" i="22"/>
  <c r="J14" i="22" s="1"/>
  <c r="J15" i="22" s="1"/>
  <c r="J16" i="22" s="1"/>
  <c r="J17" i="22" s="1"/>
  <c r="J18" i="22" s="1"/>
  <c r="J19" i="22" s="1"/>
  <c r="J20" i="22" s="1"/>
  <c r="J21" i="22" s="1"/>
  <c r="J22" i="22" s="1"/>
  <c r="J23" i="22" s="1"/>
  <c r="J24" i="22" s="1"/>
  <c r="J25" i="22" s="1"/>
  <c r="J26" i="22" s="1"/>
  <c r="J27" i="22" s="1"/>
  <c r="J28" i="22" s="1"/>
  <c r="J29" i="22" s="1"/>
  <c r="J30" i="22" s="1"/>
  <c r="J31" i="22" s="1"/>
  <c r="J32" i="22" s="1"/>
  <c r="J33" i="22" s="1"/>
  <c r="J34" i="22" s="1"/>
  <c r="J35" i="22" s="1"/>
  <c r="I13" i="22"/>
  <c r="I14" i="22" s="1"/>
  <c r="I15" i="22" s="1"/>
  <c r="I16" i="22" s="1"/>
  <c r="I17" i="22" s="1"/>
  <c r="I18" i="22" s="1"/>
  <c r="I19" i="22" s="1"/>
  <c r="I20" i="22" s="1"/>
  <c r="I21" i="22" s="1"/>
  <c r="I22" i="22" s="1"/>
  <c r="I23" i="22" s="1"/>
  <c r="D19" i="22"/>
  <c r="D20" i="22" s="1"/>
  <c r="D21" i="22" s="1"/>
  <c r="D22" i="22" s="1"/>
  <c r="D23" i="22" s="1"/>
  <c r="D24" i="22" s="1"/>
  <c r="D25" i="22" s="1"/>
  <c r="D26" i="22" s="1"/>
  <c r="E14" i="22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J16" i="20"/>
  <c r="J17" i="20" s="1"/>
  <c r="J18" i="20" s="1"/>
  <c r="J19" i="20" s="1"/>
  <c r="J20" i="20" s="1"/>
  <c r="J21" i="20" s="1"/>
  <c r="J22" i="20" s="1"/>
  <c r="J23" i="20" s="1"/>
  <c r="J24" i="20" s="1"/>
  <c r="J25" i="20" s="1"/>
  <c r="J26" i="20" s="1"/>
  <c r="J27" i="20" s="1"/>
  <c r="J28" i="20" s="1"/>
  <c r="I16" i="20"/>
  <c r="I17" i="20" s="1"/>
  <c r="I18" i="20" s="1"/>
  <c r="I19" i="20" s="1"/>
  <c r="I16" i="18"/>
  <c r="I17" i="18" s="1"/>
  <c r="I18" i="18" s="1"/>
  <c r="I19" i="18" s="1"/>
  <c r="I20" i="18" s="1"/>
  <c r="I21" i="18" s="1"/>
  <c r="I22" i="18" s="1"/>
  <c r="I23" i="18" s="1"/>
  <c r="I24" i="18" s="1"/>
  <c r="I25" i="18" s="1"/>
  <c r="I16" i="17"/>
  <c r="I17" i="17" s="1"/>
  <c r="I18" i="17" s="1"/>
  <c r="I19" i="17" s="1"/>
  <c r="E10" i="13"/>
  <c r="E11" i="13" s="1"/>
  <c r="E12" i="13" s="1"/>
  <c r="E13" i="13" s="1"/>
  <c r="X48" i="26"/>
  <c r="K15" i="26"/>
  <c r="X53" i="26"/>
  <c r="AH51" i="26"/>
  <c r="Q43" i="26"/>
  <c r="X43" i="26" s="1"/>
  <c r="O43" i="26"/>
  <c r="Q42" i="26"/>
  <c r="O42" i="26"/>
  <c r="X42" i="26" s="1"/>
  <c r="X40" i="26"/>
  <c r="X39" i="26"/>
  <c r="X36" i="26"/>
  <c r="P35" i="26"/>
  <c r="M35" i="26"/>
  <c r="X35" i="26" s="1"/>
  <c r="P34" i="26"/>
  <c r="X34" i="26" s="1"/>
  <c r="M34" i="26"/>
  <c r="P33" i="26"/>
  <c r="M33" i="26"/>
  <c r="X33" i="26" s="1"/>
  <c r="X31" i="26"/>
  <c r="X30" i="26"/>
  <c r="X29" i="26"/>
  <c r="X28" i="26"/>
  <c r="X27" i="26"/>
  <c r="R26" i="26"/>
  <c r="X26" i="26" s="1"/>
  <c r="X25" i="26"/>
  <c r="X24" i="26"/>
  <c r="X22" i="26"/>
  <c r="X21" i="26"/>
  <c r="X19" i="26"/>
  <c r="X18" i="26"/>
  <c r="N18" i="26"/>
  <c r="M18" i="26"/>
  <c r="N17" i="26"/>
  <c r="M17" i="26"/>
  <c r="X17" i="26" s="1"/>
  <c r="X16" i="26"/>
  <c r="N16" i="26"/>
  <c r="M16" i="26"/>
  <c r="N15" i="26"/>
  <c r="M15" i="26"/>
  <c r="X15" i="26" s="1"/>
  <c r="Q13" i="26"/>
  <c r="O13" i="26"/>
  <c r="X13" i="26" s="1"/>
  <c r="X11" i="26"/>
  <c r="X10" i="26"/>
  <c r="X9" i="26"/>
  <c r="P8" i="26"/>
  <c r="X8" i="26" s="1"/>
  <c r="M8" i="26"/>
  <c r="L8" i="26"/>
  <c r="L9" i="26" s="1"/>
  <c r="L10" i="26" s="1"/>
  <c r="L11" i="26" s="1"/>
  <c r="L12" i="26" s="1"/>
  <c r="J8" i="26"/>
  <c r="J9" i="26" s="1"/>
  <c r="J10" i="26" s="1"/>
  <c r="J11" i="26" s="1"/>
  <c r="J12" i="26" s="1"/>
  <c r="P7" i="26"/>
  <c r="M7" i="26"/>
  <c r="X7" i="26" s="1"/>
  <c r="P6" i="26"/>
  <c r="X6" i="26" s="1"/>
  <c r="M6" i="26"/>
  <c r="L6" i="26"/>
  <c r="L7" i="26" s="1"/>
  <c r="J6" i="26"/>
  <c r="J7" i="26" s="1"/>
  <c r="I6" i="26"/>
  <c r="I7" i="26" s="1"/>
  <c r="I8" i="26" s="1"/>
  <c r="I9" i="26" s="1"/>
  <c r="I10" i="26" s="1"/>
  <c r="I11" i="26" s="1"/>
  <c r="I12" i="26" s="1"/>
  <c r="I13" i="26" s="1"/>
  <c r="I14" i="26" s="1"/>
  <c r="I15" i="26" s="1"/>
  <c r="I16" i="26" s="1"/>
  <c r="I17" i="26" s="1"/>
  <c r="I18" i="26" s="1"/>
  <c r="I19" i="26" s="1"/>
  <c r="I20" i="26" s="1"/>
  <c r="I21" i="26" s="1"/>
  <c r="I22" i="26" s="1"/>
  <c r="I23" i="26" s="1"/>
  <c r="I24" i="26" s="1"/>
  <c r="I25" i="26" s="1"/>
  <c r="I26" i="26" s="1"/>
  <c r="I27" i="26" s="1"/>
  <c r="I28" i="26" s="1"/>
  <c r="I29" i="26" s="1"/>
  <c r="I30" i="26" s="1"/>
  <c r="I31" i="26" s="1"/>
  <c r="I32" i="26" s="1"/>
  <c r="P5" i="26"/>
  <c r="M5" i="26"/>
  <c r="X5" i="26" s="1"/>
  <c r="L5" i="26"/>
  <c r="K5" i="26"/>
  <c r="K6" i="26" s="1"/>
  <c r="K7" i="26" s="1"/>
  <c r="K8" i="26" s="1"/>
  <c r="K9" i="26" s="1"/>
  <c r="K10" i="26" s="1"/>
  <c r="K11" i="26" s="1"/>
  <c r="K12" i="26" s="1"/>
  <c r="K13" i="26" s="1"/>
  <c r="K14" i="26" s="1"/>
  <c r="J5" i="26"/>
  <c r="H5" i="26"/>
  <c r="H6" i="26" s="1"/>
  <c r="H7" i="26" s="1"/>
  <c r="H8" i="26" s="1"/>
  <c r="H9" i="26" s="1"/>
  <c r="H10" i="26" s="1"/>
  <c r="H11" i="26" s="1"/>
  <c r="H12" i="26" s="1"/>
  <c r="G5" i="26"/>
  <c r="G6" i="26" s="1"/>
  <c r="G7" i="26" s="1"/>
  <c r="G8" i="26" s="1"/>
  <c r="G9" i="26" s="1"/>
  <c r="G10" i="26" s="1"/>
  <c r="G11" i="26" s="1"/>
  <c r="G12" i="26" s="1"/>
  <c r="G13" i="26" s="1"/>
  <c r="G14" i="26" s="1"/>
  <c r="F5" i="26"/>
  <c r="P4" i="26"/>
  <c r="X4" i="26" s="1"/>
  <c r="M4" i="26"/>
  <c r="I4" i="26"/>
  <c r="I5" i="26" s="1"/>
  <c r="F4" i="26"/>
  <c r="E3" i="26"/>
  <c r="X49" i="26" s="1"/>
  <c r="C3" i="13"/>
  <c r="O16" i="23"/>
  <c r="W16" i="23" s="1"/>
  <c r="O14" i="23"/>
  <c r="M14" i="23"/>
  <c r="W14" i="23" s="1"/>
  <c r="O13" i="23"/>
  <c r="M13" i="23"/>
  <c r="W13" i="23" s="1"/>
  <c r="N4" i="23"/>
  <c r="G4" i="23" s="1"/>
  <c r="G5" i="23" s="1"/>
  <c r="G6" i="23" s="1"/>
  <c r="G7" i="23" s="1"/>
  <c r="G8" i="23" s="1"/>
  <c r="G9" i="23" s="1"/>
  <c r="G10" i="23" s="1"/>
  <c r="G11" i="23" s="1"/>
  <c r="G12" i="23" s="1"/>
  <c r="G13" i="23" s="1"/>
  <c r="G14" i="23" s="1"/>
  <c r="G15" i="23" s="1"/>
  <c r="G16" i="23" s="1"/>
  <c r="G17" i="23" s="1"/>
  <c r="G18" i="23" s="1"/>
  <c r="G19" i="23" s="1"/>
  <c r="G20" i="23" s="1"/>
  <c r="G21" i="23" s="1"/>
  <c r="G22" i="23" s="1"/>
  <c r="G23" i="23" s="1"/>
  <c r="G24" i="23" s="1"/>
  <c r="G25" i="23" s="1"/>
  <c r="G26" i="23" s="1"/>
  <c r="G27" i="23" s="1"/>
  <c r="G28" i="23" s="1"/>
  <c r="G29" i="23" s="1"/>
  <c r="G30" i="23" s="1"/>
  <c r="G31" i="23" s="1"/>
  <c r="G32" i="23" s="1"/>
  <c r="G33" i="23" s="1"/>
  <c r="G34" i="23" s="1"/>
  <c r="G35" i="23" s="1"/>
  <c r="G36" i="23" s="1"/>
  <c r="G37" i="23" s="1"/>
  <c r="G38" i="23" s="1"/>
  <c r="G39" i="23" s="1"/>
  <c r="G40" i="23" s="1"/>
  <c r="G41" i="23" s="1"/>
  <c r="G42" i="23" s="1"/>
  <c r="G43" i="23" s="1"/>
  <c r="K4" i="23"/>
  <c r="V5" i="23"/>
  <c r="O16" i="22"/>
  <c r="W16" i="22" s="1"/>
  <c r="O13" i="22"/>
  <c r="H13" i="22" s="1"/>
  <c r="M13" i="22"/>
  <c r="N4" i="22"/>
  <c r="K31" i="17"/>
  <c r="W31" i="17" s="1"/>
  <c r="N31" i="17"/>
  <c r="Q19" i="17"/>
  <c r="W19" i="17" s="1"/>
  <c r="O8" i="18"/>
  <c r="Y8" i="18" s="1"/>
  <c r="L8" i="18"/>
  <c r="O7" i="18"/>
  <c r="Y7" i="18" s="1"/>
  <c r="L7" i="18"/>
  <c r="O6" i="18"/>
  <c r="Y6" i="18" s="1"/>
  <c r="L6" i="18"/>
  <c r="O5" i="18"/>
  <c r="Y5" i="18" s="1"/>
  <c r="L5" i="18"/>
  <c r="O4" i="18"/>
  <c r="L4" i="18"/>
  <c r="D4" i="18" s="1"/>
  <c r="K34" i="17"/>
  <c r="K33" i="17"/>
  <c r="N34" i="17"/>
  <c r="N33" i="17"/>
  <c r="N32" i="17"/>
  <c r="K32" i="17"/>
  <c r="W32" i="17" s="1"/>
  <c r="O13" i="17"/>
  <c r="W13" i="17" s="1"/>
  <c r="N5" i="17"/>
  <c r="N6" i="17"/>
  <c r="N7" i="17"/>
  <c r="N8" i="17"/>
  <c r="K5" i="17"/>
  <c r="K6" i="17"/>
  <c r="K7" i="17"/>
  <c r="K8" i="17"/>
  <c r="N4" i="17"/>
  <c r="G4" i="17" s="1"/>
  <c r="K4" i="17"/>
  <c r="O41" i="17"/>
  <c r="W41" i="17" s="1"/>
  <c r="B3" i="13" l="1"/>
  <c r="V51" i="13"/>
  <c r="I12" i="13"/>
  <c r="I13" i="13" s="1"/>
  <c r="I14" i="13" s="1"/>
  <c r="I15" i="13" s="1"/>
  <c r="I16" i="13" s="1"/>
  <c r="I17" i="13" s="1"/>
  <c r="I18" i="13" s="1"/>
  <c r="I19" i="13" s="1"/>
  <c r="I20" i="13" s="1"/>
  <c r="I21" i="13" s="1"/>
  <c r="I22" i="13" s="1"/>
  <c r="W45" i="30"/>
  <c r="V48" i="30"/>
  <c r="F13" i="23"/>
  <c r="F14" i="23" s="1"/>
  <c r="F15" i="23" s="1"/>
  <c r="F16" i="23" s="1"/>
  <c r="H14" i="23"/>
  <c r="H15" i="23" s="1"/>
  <c r="C7" i="30"/>
  <c r="B7" i="30" s="1"/>
  <c r="D8" i="30"/>
  <c r="V50" i="30"/>
  <c r="AG54" i="30" s="1"/>
  <c r="V47" i="30"/>
  <c r="J20" i="30"/>
  <c r="J21" i="30" s="1"/>
  <c r="J22" i="30" s="1"/>
  <c r="J23" i="30" s="1"/>
  <c r="J24" i="30" s="1"/>
  <c r="J25" i="30" s="1"/>
  <c r="J26" i="30" s="1"/>
  <c r="J27" i="30" s="1"/>
  <c r="J28" i="30" s="1"/>
  <c r="J29" i="30" s="1"/>
  <c r="J30" i="30" s="1"/>
  <c r="J31" i="30" s="1"/>
  <c r="J32" i="30" s="1"/>
  <c r="J33" i="30" s="1"/>
  <c r="J34" i="30" s="1"/>
  <c r="J35" i="30" s="1"/>
  <c r="J36" i="30" s="1"/>
  <c r="J37" i="30" s="1"/>
  <c r="J38" i="30" s="1"/>
  <c r="J39" i="30" s="1"/>
  <c r="J40" i="30" s="1"/>
  <c r="J41" i="30" s="1"/>
  <c r="J42" i="30" s="1"/>
  <c r="J43" i="30" s="1"/>
  <c r="W45" i="27"/>
  <c r="D4" i="23"/>
  <c r="D5" i="23" s="1"/>
  <c r="D6" i="23" s="1"/>
  <c r="D7" i="23" s="1"/>
  <c r="D8" i="23" s="1"/>
  <c r="D9" i="23" s="1"/>
  <c r="D10" i="23" s="1"/>
  <c r="D11" i="23" s="1"/>
  <c r="D12" i="23" s="1"/>
  <c r="W4" i="23"/>
  <c r="F17" i="23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F37" i="23" s="1"/>
  <c r="F38" i="23" s="1"/>
  <c r="F39" i="23" s="1"/>
  <c r="F40" i="23" s="1"/>
  <c r="F41" i="23" s="1"/>
  <c r="F42" i="23" s="1"/>
  <c r="F43" i="23" s="1"/>
  <c r="H16" i="23"/>
  <c r="H17" i="23" s="1"/>
  <c r="H18" i="23" s="1"/>
  <c r="H19" i="23" s="1"/>
  <c r="H20" i="23" s="1"/>
  <c r="H21" i="23" s="1"/>
  <c r="H22" i="23" s="1"/>
  <c r="H23" i="23" s="1"/>
  <c r="H24" i="23" s="1"/>
  <c r="H25" i="23" s="1"/>
  <c r="H26" i="23" s="1"/>
  <c r="H27" i="23" s="1"/>
  <c r="H28" i="23" s="1"/>
  <c r="H29" i="23" s="1"/>
  <c r="H30" i="23" s="1"/>
  <c r="H31" i="23" s="1"/>
  <c r="H32" i="23" s="1"/>
  <c r="H33" i="23" s="1"/>
  <c r="H34" i="23" s="1"/>
  <c r="J32" i="23"/>
  <c r="J33" i="23" s="1"/>
  <c r="J34" i="23" s="1"/>
  <c r="G4" i="22"/>
  <c r="G5" i="22" s="1"/>
  <c r="G6" i="22" s="1"/>
  <c r="G7" i="22" s="1"/>
  <c r="G8" i="22" s="1"/>
  <c r="G9" i="22" s="1"/>
  <c r="G10" i="22" s="1"/>
  <c r="G11" i="22" s="1"/>
  <c r="G12" i="22" s="1"/>
  <c r="G13" i="22" s="1"/>
  <c r="G14" i="22" s="1"/>
  <c r="G15" i="22" s="1"/>
  <c r="G16" i="22" s="1"/>
  <c r="G17" i="22" s="1"/>
  <c r="G18" i="22" s="1"/>
  <c r="G19" i="22" s="1"/>
  <c r="G20" i="22" s="1"/>
  <c r="G21" i="22" s="1"/>
  <c r="G22" i="22" s="1"/>
  <c r="G23" i="22" s="1"/>
  <c r="G24" i="22" s="1"/>
  <c r="G25" i="22" s="1"/>
  <c r="W4" i="22"/>
  <c r="F13" i="22"/>
  <c r="W13" i="22"/>
  <c r="I24" i="22"/>
  <c r="I25" i="22" s="1"/>
  <c r="I26" i="22" s="1"/>
  <c r="I27" i="22" s="1"/>
  <c r="I28" i="22" s="1"/>
  <c r="I29" i="22" s="1"/>
  <c r="I30" i="22" s="1"/>
  <c r="I31" i="22" s="1"/>
  <c r="I32" i="22" s="1"/>
  <c r="I33" i="22" s="1"/>
  <c r="I34" i="22" s="1"/>
  <c r="I35" i="22" s="1"/>
  <c r="J36" i="22"/>
  <c r="J37" i="22" s="1"/>
  <c r="J38" i="22" s="1"/>
  <c r="J39" i="22" s="1"/>
  <c r="J40" i="22" s="1"/>
  <c r="J41" i="22" s="1"/>
  <c r="J42" i="22" s="1"/>
  <c r="J43" i="22" s="1"/>
  <c r="J29" i="20"/>
  <c r="J30" i="20" s="1"/>
  <c r="J31" i="20" s="1"/>
  <c r="J32" i="20" s="1"/>
  <c r="J33" i="20" s="1"/>
  <c r="J34" i="20" s="1"/>
  <c r="J35" i="20" s="1"/>
  <c r="J36" i="20" s="1"/>
  <c r="J37" i="20" s="1"/>
  <c r="J38" i="20" s="1"/>
  <c r="J39" i="20" s="1"/>
  <c r="J40" i="20" s="1"/>
  <c r="J41" i="20" s="1"/>
  <c r="J42" i="20" s="1"/>
  <c r="J43" i="20" s="1"/>
  <c r="G4" i="18"/>
  <c r="G5" i="18" s="1"/>
  <c r="G6" i="18" s="1"/>
  <c r="G7" i="18" s="1"/>
  <c r="G8" i="18" s="1"/>
  <c r="G9" i="18" s="1"/>
  <c r="G10" i="18" s="1"/>
  <c r="G11" i="18" s="1"/>
  <c r="G12" i="18" s="1"/>
  <c r="G13" i="18" s="1"/>
  <c r="G14" i="18" s="1"/>
  <c r="Y4" i="18"/>
  <c r="D4" i="17"/>
  <c r="W4" i="17"/>
  <c r="G5" i="17"/>
  <c r="W6" i="17"/>
  <c r="W34" i="17"/>
  <c r="W8" i="17"/>
  <c r="W7" i="17"/>
  <c r="W33" i="17"/>
  <c r="W5" i="17"/>
  <c r="D5" i="13"/>
  <c r="D6" i="13" s="1"/>
  <c r="D7" i="13" s="1"/>
  <c r="D8" i="13" s="1"/>
  <c r="V4" i="13"/>
  <c r="J32" i="29"/>
  <c r="J33" i="29" s="1"/>
  <c r="J34" i="29" s="1"/>
  <c r="J35" i="29" s="1"/>
  <c r="J36" i="29" s="1"/>
  <c r="J37" i="29" s="1"/>
  <c r="J38" i="29" s="1"/>
  <c r="J39" i="29" s="1"/>
  <c r="J40" i="29" s="1"/>
  <c r="J41" i="29" s="1"/>
  <c r="J42" i="29" s="1"/>
  <c r="J43" i="29" s="1"/>
  <c r="J44" i="29" s="1"/>
  <c r="I22" i="29"/>
  <c r="I23" i="29" s="1"/>
  <c r="I24" i="29" s="1"/>
  <c r="I25" i="29" s="1"/>
  <c r="I26" i="29" s="1"/>
  <c r="I27" i="29" s="1"/>
  <c r="I28" i="29" s="1"/>
  <c r="I29" i="29" s="1"/>
  <c r="I30" i="29" s="1"/>
  <c r="I31" i="29" s="1"/>
  <c r="I21" i="29"/>
  <c r="V45" i="29"/>
  <c r="D6" i="29"/>
  <c r="C5" i="29"/>
  <c r="B5" i="29" s="1"/>
  <c r="V46" i="29"/>
  <c r="D6" i="27"/>
  <c r="C6" i="27" s="1"/>
  <c r="C5" i="27"/>
  <c r="B5" i="27" s="1"/>
  <c r="I23" i="23"/>
  <c r="I24" i="23" s="1"/>
  <c r="I25" i="23" s="1"/>
  <c r="I26" i="23" s="1"/>
  <c r="I27" i="23" s="1"/>
  <c r="I28" i="23" s="1"/>
  <c r="I29" i="23" s="1"/>
  <c r="I30" i="23" s="1"/>
  <c r="I31" i="23" s="1"/>
  <c r="D27" i="22"/>
  <c r="D28" i="22" s="1"/>
  <c r="D29" i="22" s="1"/>
  <c r="D5" i="18"/>
  <c r="D6" i="18" s="1"/>
  <c r="D7" i="18" s="1"/>
  <c r="D8" i="18" s="1"/>
  <c r="I20" i="17"/>
  <c r="I21" i="17" s="1"/>
  <c r="D5" i="17"/>
  <c r="D6" i="17" s="1"/>
  <c r="D7" i="17" s="1"/>
  <c r="D8" i="17" s="1"/>
  <c r="G6" i="17"/>
  <c r="G7" i="17" s="1"/>
  <c r="G8" i="17" s="1"/>
  <c r="G9" i="17" s="1"/>
  <c r="G10" i="17" s="1"/>
  <c r="G11" i="17" s="1"/>
  <c r="G12" i="17" s="1"/>
  <c r="G13" i="17" s="1"/>
  <c r="G14" i="17" s="1"/>
  <c r="K16" i="26"/>
  <c r="K17" i="26" s="1"/>
  <c r="K18" i="26" s="1"/>
  <c r="K19" i="26" s="1"/>
  <c r="K20" i="26" s="1"/>
  <c r="K21" i="26" s="1"/>
  <c r="K22" i="26" s="1"/>
  <c r="K23" i="26" s="1"/>
  <c r="S12" i="26"/>
  <c r="E4" i="26"/>
  <c r="B4" i="26" s="1"/>
  <c r="E5" i="26"/>
  <c r="B5" i="26" s="1"/>
  <c r="F6" i="26"/>
  <c r="B3" i="26"/>
  <c r="V4" i="23"/>
  <c r="D9" i="13" l="1"/>
  <c r="D10" i="13" s="1"/>
  <c r="D11" i="13" s="1"/>
  <c r="D12" i="13" s="1"/>
  <c r="D13" i="13" s="1"/>
  <c r="C4" i="13"/>
  <c r="G5" i="13"/>
  <c r="G6" i="13" s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5" i="13" s="1"/>
  <c r="G26" i="13" s="1"/>
  <c r="D9" i="30"/>
  <c r="C8" i="30"/>
  <c r="B8" i="30" s="1"/>
  <c r="J35" i="23"/>
  <c r="J36" i="23" s="1"/>
  <c r="J37" i="23" s="1"/>
  <c r="J38" i="23" s="1"/>
  <c r="J39" i="23" s="1"/>
  <c r="J40" i="23" s="1"/>
  <c r="J41" i="23" s="1"/>
  <c r="J42" i="23" s="1"/>
  <c r="J43" i="23" s="1"/>
  <c r="H35" i="23"/>
  <c r="H36" i="23" s="1"/>
  <c r="H37" i="23" s="1"/>
  <c r="H38" i="23" s="1"/>
  <c r="H39" i="23" s="1"/>
  <c r="H40" i="23" s="1"/>
  <c r="H41" i="23" s="1"/>
  <c r="H42" i="23" s="1"/>
  <c r="H43" i="23" s="1"/>
  <c r="I32" i="23"/>
  <c r="I33" i="23" s="1"/>
  <c r="I34" i="23" s="1"/>
  <c r="D13" i="23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I36" i="22"/>
  <c r="I37" i="22" s="1"/>
  <c r="I38" i="22" s="1"/>
  <c r="I39" i="22" s="1"/>
  <c r="I40" i="22" s="1"/>
  <c r="I41" i="22" s="1"/>
  <c r="I42" i="22" s="1"/>
  <c r="I43" i="22" s="1"/>
  <c r="D30" i="22"/>
  <c r="D31" i="22" s="1"/>
  <c r="D32" i="22" s="1"/>
  <c r="G26" i="22"/>
  <c r="G27" i="22" s="1"/>
  <c r="G28" i="22" s="1"/>
  <c r="G29" i="22" s="1"/>
  <c r="I32" i="29"/>
  <c r="I33" i="29" s="1"/>
  <c r="I34" i="29" s="1"/>
  <c r="I35" i="29" s="1"/>
  <c r="I36" i="29" s="1"/>
  <c r="I37" i="29" s="1"/>
  <c r="I38" i="29" s="1"/>
  <c r="I39" i="29" s="1"/>
  <c r="I40" i="29" s="1"/>
  <c r="I41" i="29" s="1"/>
  <c r="I42" i="29" s="1"/>
  <c r="I43" i="29" s="1"/>
  <c r="I44" i="29" s="1"/>
  <c r="C6" i="29"/>
  <c r="B6" i="29" s="1"/>
  <c r="D7" i="29"/>
  <c r="B6" i="27"/>
  <c r="D7" i="27"/>
  <c r="D9" i="18"/>
  <c r="D10" i="18" s="1"/>
  <c r="D11" i="18" s="1"/>
  <c r="D12" i="18" s="1"/>
  <c r="D13" i="18" s="1"/>
  <c r="D9" i="17"/>
  <c r="D10" i="17" s="1"/>
  <c r="D11" i="17" s="1"/>
  <c r="D12" i="17" s="1"/>
  <c r="D13" i="17" s="1"/>
  <c r="E6" i="26"/>
  <c r="B6" i="26" s="1"/>
  <c r="F7" i="26"/>
  <c r="Q12" i="26"/>
  <c r="J13" i="26" s="1"/>
  <c r="J14" i="26" s="1"/>
  <c r="O12" i="26"/>
  <c r="L13" i="26"/>
  <c r="L14" i="26" s="1"/>
  <c r="L15" i="26" s="1"/>
  <c r="L16" i="26" s="1"/>
  <c r="L17" i="26" s="1"/>
  <c r="L18" i="26" s="1"/>
  <c r="L19" i="26" s="1"/>
  <c r="L20" i="26" s="1"/>
  <c r="P43" i="18"/>
  <c r="P41" i="18"/>
  <c r="Y41" i="18" s="1"/>
  <c r="L36" i="18"/>
  <c r="L37" i="18"/>
  <c r="O36" i="18"/>
  <c r="Y36" i="18" s="1"/>
  <c r="O37" i="18"/>
  <c r="Y37" i="18" s="1"/>
  <c r="O35" i="18"/>
  <c r="Y35" i="18" s="1"/>
  <c r="L35" i="18"/>
  <c r="O34" i="18"/>
  <c r="Y34" i="18" s="1"/>
  <c r="L34" i="18"/>
  <c r="C3" i="18"/>
  <c r="B3" i="18" s="1"/>
  <c r="G27" i="13" l="1"/>
  <c r="G28" i="13" s="1"/>
  <c r="G29" i="13" s="1"/>
  <c r="G30" i="13" s="1"/>
  <c r="G31" i="13" s="1"/>
  <c r="C9" i="30"/>
  <c r="B9" i="30" s="1"/>
  <c r="D10" i="30"/>
  <c r="I35" i="23"/>
  <c r="I36" i="23" s="1"/>
  <c r="I37" i="23" s="1"/>
  <c r="I38" i="23" s="1"/>
  <c r="I39" i="23" s="1"/>
  <c r="I40" i="23" s="1"/>
  <c r="I41" i="23" s="1"/>
  <c r="I42" i="23" s="1"/>
  <c r="I43" i="23" s="1"/>
  <c r="G30" i="22"/>
  <c r="G31" i="22" s="1"/>
  <c r="G32" i="22" s="1"/>
  <c r="R43" i="18"/>
  <c r="Y43" i="18"/>
  <c r="D8" i="29"/>
  <c r="C7" i="29"/>
  <c r="B7" i="29" s="1"/>
  <c r="D8" i="27"/>
  <c r="D9" i="27" s="1"/>
  <c r="C7" i="27"/>
  <c r="B7" i="27" s="1"/>
  <c r="X12" i="26"/>
  <c r="H13" i="26"/>
  <c r="H14" i="26" s="1"/>
  <c r="F8" i="26"/>
  <c r="E7" i="26"/>
  <c r="B7" i="26" s="1"/>
  <c r="K35" i="20"/>
  <c r="W35" i="20" s="1"/>
  <c r="D11" i="30" l="1"/>
  <c r="C10" i="30"/>
  <c r="B10" i="30" s="1"/>
  <c r="C8" i="29"/>
  <c r="B8" i="29" s="1"/>
  <c r="C8" i="27"/>
  <c r="B8" i="27" s="1"/>
  <c r="E8" i="26"/>
  <c r="B8" i="26" s="1"/>
  <c r="F9" i="26"/>
  <c r="O14" i="26"/>
  <c r="V43" i="24"/>
  <c r="V42" i="24"/>
  <c r="O41" i="24"/>
  <c r="M41" i="24"/>
  <c r="W41" i="24" s="1"/>
  <c r="V40" i="24"/>
  <c r="V39" i="24"/>
  <c r="Q38" i="24"/>
  <c r="P37" i="24"/>
  <c r="N37" i="24"/>
  <c r="W37" i="24" s="1"/>
  <c r="V36" i="24"/>
  <c r="N35" i="24"/>
  <c r="K35" i="24"/>
  <c r="W35" i="24" s="1"/>
  <c r="N34" i="24"/>
  <c r="K34" i="24"/>
  <c r="N33" i="24"/>
  <c r="K33" i="24"/>
  <c r="W33" i="24" s="1"/>
  <c r="N32" i="24"/>
  <c r="G32" i="24" s="1"/>
  <c r="K32" i="24"/>
  <c r="W32" i="24" s="1"/>
  <c r="V31" i="24"/>
  <c r="V30" i="24"/>
  <c r="V29" i="24"/>
  <c r="V28" i="24"/>
  <c r="V27" i="24"/>
  <c r="P26" i="24"/>
  <c r="V25" i="24"/>
  <c r="V24" i="24"/>
  <c r="Q23" i="24"/>
  <c r="V22" i="24"/>
  <c r="V21" i="24"/>
  <c r="P20" i="24"/>
  <c r="I20" i="24" s="1"/>
  <c r="I21" i="24" s="1"/>
  <c r="I22" i="24" s="1"/>
  <c r="I23" i="24" s="1"/>
  <c r="I24" i="24" s="1"/>
  <c r="I25" i="24" s="1"/>
  <c r="L20" i="24"/>
  <c r="V19" i="24"/>
  <c r="V18" i="24"/>
  <c r="V17" i="24"/>
  <c r="V16" i="24"/>
  <c r="V15" i="24"/>
  <c r="O14" i="24"/>
  <c r="L14" i="24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E38" i="24" s="1"/>
  <c r="E39" i="24" s="1"/>
  <c r="E40" i="24" s="1"/>
  <c r="E41" i="24" s="1"/>
  <c r="E42" i="24" s="1"/>
  <c r="E43" i="24" s="1"/>
  <c r="K14" i="24"/>
  <c r="V13" i="24"/>
  <c r="O12" i="24"/>
  <c r="H12" i="24" s="1"/>
  <c r="H13" i="24" s="1"/>
  <c r="M12" i="24"/>
  <c r="V11" i="24"/>
  <c r="V10" i="24"/>
  <c r="V9" i="24"/>
  <c r="V8" i="24"/>
  <c r="V7" i="24"/>
  <c r="V6" i="24"/>
  <c r="V5" i="24"/>
  <c r="V4" i="24"/>
  <c r="C3" i="24"/>
  <c r="L21" i="23"/>
  <c r="V14" i="23"/>
  <c r="V43" i="23"/>
  <c r="V40" i="23"/>
  <c r="V39" i="23"/>
  <c r="V38" i="23"/>
  <c r="V37" i="23"/>
  <c r="V36" i="23"/>
  <c r="K34" i="23"/>
  <c r="V33" i="23"/>
  <c r="V32" i="23"/>
  <c r="V31" i="23"/>
  <c r="V29" i="23"/>
  <c r="V28" i="23"/>
  <c r="V27" i="23"/>
  <c r="V26" i="23"/>
  <c r="V25" i="23"/>
  <c r="V24" i="23"/>
  <c r="V23" i="23"/>
  <c r="V22" i="23"/>
  <c r="V20" i="23"/>
  <c r="V19" i="23"/>
  <c r="V18" i="23"/>
  <c r="V17" i="23"/>
  <c r="V16" i="23"/>
  <c r="V15" i="23"/>
  <c r="V12" i="23"/>
  <c r="V11" i="23"/>
  <c r="V10" i="23"/>
  <c r="V8" i="23"/>
  <c r="V7" i="23"/>
  <c r="V6" i="23"/>
  <c r="C3" i="23"/>
  <c r="O42" i="22"/>
  <c r="W42" i="22" s="1"/>
  <c r="G33" i="22"/>
  <c r="D33" i="22"/>
  <c r="D34" i="22" s="1"/>
  <c r="V16" i="22"/>
  <c r="V23" i="22"/>
  <c r="O14" i="22"/>
  <c r="H14" i="22" s="1"/>
  <c r="H15" i="22" s="1"/>
  <c r="H16" i="22" s="1"/>
  <c r="H17" i="22" s="1"/>
  <c r="H18" i="22" s="1"/>
  <c r="H19" i="22" s="1"/>
  <c r="H20" i="22" s="1"/>
  <c r="H21" i="22" s="1"/>
  <c r="H22" i="22" s="1"/>
  <c r="H23" i="22" s="1"/>
  <c r="H24" i="22" s="1"/>
  <c r="H25" i="22" s="1"/>
  <c r="H26" i="22" s="1"/>
  <c r="H27" i="22" s="1"/>
  <c r="H28" i="22" s="1"/>
  <c r="H29" i="22" s="1"/>
  <c r="H30" i="22" s="1"/>
  <c r="H31" i="22" s="1"/>
  <c r="H32" i="22" s="1"/>
  <c r="H33" i="22" s="1"/>
  <c r="H34" i="22" s="1"/>
  <c r="H35" i="22" s="1"/>
  <c r="M14" i="22"/>
  <c r="V13" i="22"/>
  <c r="V43" i="22"/>
  <c r="V41" i="22"/>
  <c r="V40" i="22"/>
  <c r="V39" i="22"/>
  <c r="V38" i="22"/>
  <c r="V37" i="22"/>
  <c r="V36" i="22"/>
  <c r="N35" i="22"/>
  <c r="K35" i="22"/>
  <c r="W35" i="22" s="1"/>
  <c r="N34" i="22"/>
  <c r="K34" i="22"/>
  <c r="W34" i="22" s="1"/>
  <c r="V32" i="22"/>
  <c r="V31" i="22"/>
  <c r="V30" i="22"/>
  <c r="V29" i="22"/>
  <c r="V28" i="22"/>
  <c r="V27" i="22"/>
  <c r="V26" i="22"/>
  <c r="V25" i="22"/>
  <c r="V24" i="22"/>
  <c r="V21" i="22"/>
  <c r="V20" i="22"/>
  <c r="V19" i="22"/>
  <c r="V18" i="22"/>
  <c r="V17" i="22"/>
  <c r="V15" i="22"/>
  <c r="V11" i="22"/>
  <c r="V10" i="22"/>
  <c r="V8" i="22"/>
  <c r="V7" i="22"/>
  <c r="V6" i="22"/>
  <c r="V5" i="22"/>
  <c r="C4" i="22"/>
  <c r="B4" i="22" s="1"/>
  <c r="C3" i="22"/>
  <c r="V43" i="20"/>
  <c r="V42" i="20"/>
  <c r="V41" i="20"/>
  <c r="V40" i="20"/>
  <c r="V39" i="20"/>
  <c r="V38" i="20"/>
  <c r="V37" i="20"/>
  <c r="V36" i="20"/>
  <c r="V35" i="20"/>
  <c r="V34" i="20"/>
  <c r="V33" i="20"/>
  <c r="V32" i="20"/>
  <c r="V31" i="20"/>
  <c r="V30" i="20"/>
  <c r="V29" i="20"/>
  <c r="V28" i="20"/>
  <c r="V27" i="20"/>
  <c r="V26" i="20"/>
  <c r="V25" i="20"/>
  <c r="V24" i="20"/>
  <c r="V23" i="20"/>
  <c r="V22" i="20"/>
  <c r="V21" i="20"/>
  <c r="P20" i="20"/>
  <c r="I20" i="20" s="1"/>
  <c r="L20" i="20"/>
  <c r="W20" i="20" s="1"/>
  <c r="V19" i="20"/>
  <c r="V18" i="20"/>
  <c r="V17" i="20"/>
  <c r="V16" i="20"/>
  <c r="V15" i="20"/>
  <c r="O14" i="20"/>
  <c r="L14" i="20"/>
  <c r="E14" i="20" s="1"/>
  <c r="E15" i="20" s="1"/>
  <c r="E16" i="20" s="1"/>
  <c r="E17" i="20" s="1"/>
  <c r="E18" i="20" s="1"/>
  <c r="E19" i="20" s="1"/>
  <c r="K14" i="20"/>
  <c r="V13" i="20"/>
  <c r="O12" i="20"/>
  <c r="H12" i="20" s="1"/>
  <c r="H13" i="20" s="1"/>
  <c r="M12" i="20"/>
  <c r="V11" i="20"/>
  <c r="V10" i="20"/>
  <c r="V9" i="20"/>
  <c r="V8" i="20"/>
  <c r="V7" i="20"/>
  <c r="V6" i="20"/>
  <c r="V5" i="20"/>
  <c r="V4" i="20"/>
  <c r="C3" i="20"/>
  <c r="X50" i="18"/>
  <c r="X5" i="18"/>
  <c r="X6" i="18"/>
  <c r="X7" i="18"/>
  <c r="X8" i="18"/>
  <c r="X9" i="18"/>
  <c r="X10" i="18"/>
  <c r="X11" i="18"/>
  <c r="X16" i="18"/>
  <c r="X17" i="18"/>
  <c r="X18" i="18"/>
  <c r="X20" i="18"/>
  <c r="X21" i="18"/>
  <c r="X22" i="18"/>
  <c r="X23" i="18"/>
  <c r="X24" i="18"/>
  <c r="X25" i="18"/>
  <c r="X27" i="18"/>
  <c r="X28" i="18"/>
  <c r="X30" i="18"/>
  <c r="X31" i="18"/>
  <c r="X32" i="18"/>
  <c r="X33" i="18"/>
  <c r="X38" i="18"/>
  <c r="X41" i="18"/>
  <c r="X43" i="18"/>
  <c r="X4" i="18"/>
  <c r="H14" i="20" l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H34" i="20" s="1"/>
  <c r="H35" i="20" s="1"/>
  <c r="H36" i="20" s="1"/>
  <c r="H37" i="20" s="1"/>
  <c r="H38" i="20" s="1"/>
  <c r="H39" i="20" s="1"/>
  <c r="H40" i="20" s="1"/>
  <c r="H41" i="20" s="1"/>
  <c r="H42" i="20" s="1"/>
  <c r="H43" i="20" s="1"/>
  <c r="E20" i="20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I26" i="24"/>
  <c r="I27" i="24" s="1"/>
  <c r="I28" i="24" s="1"/>
  <c r="I29" i="24" s="1"/>
  <c r="I30" i="24" s="1"/>
  <c r="I31" i="24" s="1"/>
  <c r="I32" i="24" s="1"/>
  <c r="I33" i="24" s="1"/>
  <c r="I34" i="24" s="1"/>
  <c r="I35" i="24" s="1"/>
  <c r="I36" i="24" s="1"/>
  <c r="I37" i="24" s="1"/>
  <c r="I38" i="24" s="1"/>
  <c r="I39" i="24" s="1"/>
  <c r="I40" i="24" s="1"/>
  <c r="I41" i="24" s="1"/>
  <c r="I42" i="24" s="1"/>
  <c r="I43" i="24" s="1"/>
  <c r="H14" i="24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H29" i="24" s="1"/>
  <c r="H30" i="24" s="1"/>
  <c r="H31" i="24" s="1"/>
  <c r="H32" i="24" s="1"/>
  <c r="H33" i="24" s="1"/>
  <c r="H34" i="24" s="1"/>
  <c r="H35" i="24" s="1"/>
  <c r="H36" i="24" s="1"/>
  <c r="H37" i="24" s="1"/>
  <c r="H38" i="24" s="1"/>
  <c r="H39" i="24" s="1"/>
  <c r="H40" i="24" s="1"/>
  <c r="H41" i="24" s="1"/>
  <c r="H42" i="24" s="1"/>
  <c r="H43" i="24" s="1"/>
  <c r="G33" i="24"/>
  <c r="G34" i="24" s="1"/>
  <c r="G35" i="24" s="1"/>
  <c r="G36" i="24" s="1"/>
  <c r="G37" i="24" s="1"/>
  <c r="G38" i="24" s="1"/>
  <c r="G39" i="24" s="1"/>
  <c r="G40" i="24" s="1"/>
  <c r="G41" i="24" s="1"/>
  <c r="G42" i="24" s="1"/>
  <c r="G43" i="24" s="1"/>
  <c r="D12" i="30"/>
  <c r="C11" i="30"/>
  <c r="B11" i="30" s="1"/>
  <c r="W12" i="24"/>
  <c r="F12" i="24"/>
  <c r="F13" i="24" s="1"/>
  <c r="F14" i="24" s="1"/>
  <c r="F15" i="24" s="1"/>
  <c r="F16" i="24" s="1"/>
  <c r="F17" i="24" s="1"/>
  <c r="F18" i="24" s="1"/>
  <c r="F19" i="24" s="1"/>
  <c r="F20" i="24" s="1"/>
  <c r="F21" i="24" s="1"/>
  <c r="F22" i="24" s="1"/>
  <c r="F23" i="24" s="1"/>
  <c r="V23" i="24"/>
  <c r="W23" i="24"/>
  <c r="J23" i="24"/>
  <c r="J24" i="24" s="1"/>
  <c r="J25" i="24" s="1"/>
  <c r="J26" i="24" s="1"/>
  <c r="J27" i="24" s="1"/>
  <c r="J28" i="24" s="1"/>
  <c r="J29" i="24" s="1"/>
  <c r="J30" i="24" s="1"/>
  <c r="J31" i="24" s="1"/>
  <c r="J32" i="24" s="1"/>
  <c r="J33" i="24" s="1"/>
  <c r="J34" i="24" s="1"/>
  <c r="J35" i="24" s="1"/>
  <c r="J36" i="24" s="1"/>
  <c r="J37" i="24" s="1"/>
  <c r="J38" i="24" s="1"/>
  <c r="J39" i="24" s="1"/>
  <c r="J40" i="24" s="1"/>
  <c r="J41" i="24" s="1"/>
  <c r="J42" i="24" s="1"/>
  <c r="J43" i="24" s="1"/>
  <c r="W14" i="24"/>
  <c r="D14" i="24"/>
  <c r="D15" i="24" s="1"/>
  <c r="D16" i="24" s="1"/>
  <c r="D17" i="24" s="1"/>
  <c r="D18" i="24" s="1"/>
  <c r="D19" i="24" s="1"/>
  <c r="D20" i="24" s="1"/>
  <c r="D21" i="24" s="1"/>
  <c r="D22" i="24" s="1"/>
  <c r="D23" i="24" s="1"/>
  <c r="V26" i="24"/>
  <c r="W26" i="24"/>
  <c r="V34" i="24"/>
  <c r="W34" i="24"/>
  <c r="W20" i="24"/>
  <c r="V38" i="24"/>
  <c r="W38" i="24"/>
  <c r="W21" i="23"/>
  <c r="E21" i="23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V34" i="23"/>
  <c r="W34" i="23"/>
  <c r="D34" i="23"/>
  <c r="D35" i="23" s="1"/>
  <c r="D36" i="23" s="1"/>
  <c r="D37" i="23" s="1"/>
  <c r="D38" i="23" s="1"/>
  <c r="D39" i="23" s="1"/>
  <c r="D40" i="23" s="1"/>
  <c r="D41" i="23" s="1"/>
  <c r="D42" i="23" s="1"/>
  <c r="D43" i="23" s="1"/>
  <c r="H36" i="22"/>
  <c r="H37" i="22" s="1"/>
  <c r="H38" i="22" s="1"/>
  <c r="H39" i="22" s="1"/>
  <c r="H40" i="22" s="1"/>
  <c r="H41" i="22" s="1"/>
  <c r="H42" i="22" s="1"/>
  <c r="H43" i="22" s="1"/>
  <c r="D35" i="22"/>
  <c r="D36" i="22" s="1"/>
  <c r="D37" i="22" s="1"/>
  <c r="D38" i="22" s="1"/>
  <c r="D39" i="22" s="1"/>
  <c r="D40" i="22" s="1"/>
  <c r="D41" i="22" s="1"/>
  <c r="D42" i="22" s="1"/>
  <c r="D43" i="22" s="1"/>
  <c r="W14" i="22"/>
  <c r="W44" i="22" s="1"/>
  <c r="H9" i="25" s="1"/>
  <c r="I9" i="25" s="1"/>
  <c r="W14" i="20"/>
  <c r="D14" i="20"/>
  <c r="D15" i="20" s="1"/>
  <c r="D16" i="20" s="1"/>
  <c r="D17" i="20" s="1"/>
  <c r="D18" i="20" s="1"/>
  <c r="D19" i="20" s="1"/>
  <c r="D20" i="20" s="1"/>
  <c r="D21" i="20" s="1"/>
  <c r="D22" i="20" s="1"/>
  <c r="D23" i="20" s="1"/>
  <c r="D24" i="20" s="1"/>
  <c r="D25" i="20" s="1"/>
  <c r="D26" i="20" s="1"/>
  <c r="D27" i="20" s="1"/>
  <c r="D28" i="20" s="1"/>
  <c r="V12" i="20"/>
  <c r="W12" i="20"/>
  <c r="W44" i="20" s="1"/>
  <c r="H8" i="25" s="1"/>
  <c r="I8" i="25" s="1"/>
  <c r="F12" i="20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F37" i="20" s="1"/>
  <c r="F38" i="20" s="1"/>
  <c r="F39" i="20" s="1"/>
  <c r="F40" i="20" s="1"/>
  <c r="F41" i="20" s="1"/>
  <c r="F42" i="20" s="1"/>
  <c r="F43" i="20" s="1"/>
  <c r="I21" i="20"/>
  <c r="I22" i="20" s="1"/>
  <c r="I23" i="20" s="1"/>
  <c r="I24" i="20" s="1"/>
  <c r="I25" i="20" s="1"/>
  <c r="I26" i="20" s="1"/>
  <c r="I27" i="20" s="1"/>
  <c r="I28" i="20" s="1"/>
  <c r="I29" i="20" s="1"/>
  <c r="I30" i="20" s="1"/>
  <c r="I31" i="20" s="1"/>
  <c r="I32" i="20" s="1"/>
  <c r="I33" i="20" s="1"/>
  <c r="I34" i="20" s="1"/>
  <c r="I35" i="20" s="1"/>
  <c r="D10" i="29"/>
  <c r="C9" i="29"/>
  <c r="B9" i="29" s="1"/>
  <c r="C9" i="27"/>
  <c r="B9" i="27" s="1"/>
  <c r="D10" i="27"/>
  <c r="V41" i="24"/>
  <c r="V49" i="24"/>
  <c r="AF51" i="24" s="1"/>
  <c r="B3" i="24"/>
  <c r="V30" i="23"/>
  <c r="V49" i="23"/>
  <c r="AF51" i="23" s="1"/>
  <c r="B3" i="23"/>
  <c r="V34" i="22"/>
  <c r="G34" i="22"/>
  <c r="G35" i="22" s="1"/>
  <c r="G36" i="22" s="1"/>
  <c r="G37" i="22" s="1"/>
  <c r="G38" i="22" s="1"/>
  <c r="G39" i="22" s="1"/>
  <c r="G40" i="22" s="1"/>
  <c r="G41" i="22" s="1"/>
  <c r="G42" i="22" s="1"/>
  <c r="G43" i="22" s="1"/>
  <c r="V14" i="22"/>
  <c r="F14" i="22"/>
  <c r="F15" i="22" s="1"/>
  <c r="F16" i="22" s="1"/>
  <c r="F17" i="22" s="1"/>
  <c r="V33" i="22"/>
  <c r="V49" i="22"/>
  <c r="AF51" i="22" s="1"/>
  <c r="B3" i="22"/>
  <c r="C4" i="20"/>
  <c r="B4" i="20" s="1"/>
  <c r="V49" i="20"/>
  <c r="AF51" i="20" s="1"/>
  <c r="B3" i="20"/>
  <c r="V20" i="20"/>
  <c r="Q14" i="26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s="1"/>
  <c r="J34" i="26" s="1"/>
  <c r="J35" i="26" s="1"/>
  <c r="J36" i="26" s="1"/>
  <c r="J37" i="26" s="1"/>
  <c r="J38" i="26" s="1"/>
  <c r="J39" i="26" s="1"/>
  <c r="J40" i="26" s="1"/>
  <c r="J41" i="26" s="1"/>
  <c r="H15" i="26"/>
  <c r="H16" i="26" s="1"/>
  <c r="H17" i="26" s="1"/>
  <c r="H18" i="26" s="1"/>
  <c r="H19" i="26" s="1"/>
  <c r="H20" i="26" s="1"/>
  <c r="H21" i="26" s="1"/>
  <c r="H22" i="26" s="1"/>
  <c r="H23" i="26" s="1"/>
  <c r="H24" i="26" s="1"/>
  <c r="H25" i="26" s="1"/>
  <c r="H26" i="26" s="1"/>
  <c r="H27" i="26" s="1"/>
  <c r="H28" i="26" s="1"/>
  <c r="H29" i="26" s="1"/>
  <c r="H30" i="26" s="1"/>
  <c r="H31" i="26" s="1"/>
  <c r="H32" i="26" s="1"/>
  <c r="H33" i="26" s="1"/>
  <c r="H34" i="26" s="1"/>
  <c r="H35" i="26" s="1"/>
  <c r="H36" i="26" s="1"/>
  <c r="H37" i="26" s="1"/>
  <c r="H38" i="26" s="1"/>
  <c r="H39" i="26" s="1"/>
  <c r="H40" i="26" s="1"/>
  <c r="H41" i="26" s="1"/>
  <c r="F10" i="26"/>
  <c r="E9" i="26"/>
  <c r="B9" i="26" s="1"/>
  <c r="V35" i="24"/>
  <c r="V12" i="24"/>
  <c r="V20" i="24"/>
  <c r="V42" i="23"/>
  <c r="V41" i="23"/>
  <c r="V35" i="23"/>
  <c r="V42" i="22"/>
  <c r="V35" i="22"/>
  <c r="X19" i="18"/>
  <c r="V14" i="24"/>
  <c r="V37" i="24"/>
  <c r="V32" i="24"/>
  <c r="V21" i="23"/>
  <c r="C4" i="23"/>
  <c r="B4" i="23" s="1"/>
  <c r="V9" i="23"/>
  <c r="V14" i="20"/>
  <c r="V33" i="24"/>
  <c r="C5" i="24"/>
  <c r="B5" i="24" s="1"/>
  <c r="C4" i="24"/>
  <c r="B4" i="24" s="1"/>
  <c r="V13" i="23"/>
  <c r="V22" i="22"/>
  <c r="V9" i="22"/>
  <c r="V4" i="22"/>
  <c r="V12" i="22"/>
  <c r="C5" i="20"/>
  <c r="B5" i="20" s="1"/>
  <c r="W44" i="23" l="1"/>
  <c r="H10" i="25" s="1"/>
  <c r="I10" i="25" s="1"/>
  <c r="C12" i="30"/>
  <c r="B12" i="30" s="1"/>
  <c r="D13" i="30"/>
  <c r="D24" i="24"/>
  <c r="D25" i="24" s="1"/>
  <c r="D26" i="24" s="1"/>
  <c r="D27" i="24" s="1"/>
  <c r="D28" i="24" s="1"/>
  <c r="D29" i="24" s="1"/>
  <c r="D30" i="24" s="1"/>
  <c r="D31" i="24" s="1"/>
  <c r="D32" i="24" s="1"/>
  <c r="D33" i="24" s="1"/>
  <c r="D34" i="24" s="1"/>
  <c r="D35" i="24" s="1"/>
  <c r="D36" i="24" s="1"/>
  <c r="D37" i="24" s="1"/>
  <c r="D38" i="24" s="1"/>
  <c r="D39" i="24" s="1"/>
  <c r="D40" i="24" s="1"/>
  <c r="D41" i="24" s="1"/>
  <c r="D42" i="24" s="1"/>
  <c r="D43" i="24" s="1"/>
  <c r="F24" i="24"/>
  <c r="F25" i="24" s="1"/>
  <c r="F26" i="24" s="1"/>
  <c r="F27" i="24" s="1"/>
  <c r="F28" i="24" s="1"/>
  <c r="F29" i="24" s="1"/>
  <c r="F30" i="24" s="1"/>
  <c r="F31" i="24" s="1"/>
  <c r="F32" i="24" s="1"/>
  <c r="F33" i="24" s="1"/>
  <c r="F34" i="24" s="1"/>
  <c r="F35" i="24" s="1"/>
  <c r="F36" i="24" s="1"/>
  <c r="F37" i="24" s="1"/>
  <c r="F38" i="24" s="1"/>
  <c r="F39" i="24" s="1"/>
  <c r="F40" i="24" s="1"/>
  <c r="F41" i="24" s="1"/>
  <c r="F42" i="24" s="1"/>
  <c r="F43" i="24" s="1"/>
  <c r="W44" i="24"/>
  <c r="H11" i="25" s="1"/>
  <c r="I11" i="25" s="1"/>
  <c r="I37" i="20"/>
  <c r="I38" i="20" s="1"/>
  <c r="I39" i="20" s="1"/>
  <c r="I40" i="20" s="1"/>
  <c r="I41" i="20" s="1"/>
  <c r="I42" i="20" s="1"/>
  <c r="I43" i="20" s="1"/>
  <c r="I36" i="20"/>
  <c r="D29" i="20"/>
  <c r="D30" i="20" s="1"/>
  <c r="D31" i="20" s="1"/>
  <c r="D32" i="20" s="1"/>
  <c r="D33" i="20" s="1"/>
  <c r="D34" i="20" s="1"/>
  <c r="D35" i="20" s="1"/>
  <c r="D36" i="20" s="1"/>
  <c r="D37" i="20" s="1"/>
  <c r="D38" i="20" s="1"/>
  <c r="D39" i="20" s="1"/>
  <c r="D40" i="20" s="1"/>
  <c r="D41" i="20" s="1"/>
  <c r="D42" i="20" s="1"/>
  <c r="D43" i="20" s="1"/>
  <c r="V51" i="20" s="1"/>
  <c r="D11" i="29"/>
  <c r="C10" i="29"/>
  <c r="B10" i="29" s="1"/>
  <c r="D11" i="27"/>
  <c r="C10" i="27"/>
  <c r="B10" i="27" s="1"/>
  <c r="F18" i="22"/>
  <c r="F19" i="22" s="1"/>
  <c r="F20" i="22" s="1"/>
  <c r="F21" i="22" s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F42" i="22" s="1"/>
  <c r="F43" i="22" s="1"/>
  <c r="V45" i="20"/>
  <c r="B8" i="25" s="1"/>
  <c r="E10" i="26"/>
  <c r="B10" i="26" s="1"/>
  <c r="F11" i="26"/>
  <c r="N14" i="26"/>
  <c r="G15" i="26" s="1"/>
  <c r="G16" i="26" s="1"/>
  <c r="G17" i="26" s="1"/>
  <c r="G18" i="26" s="1"/>
  <c r="G19" i="26" s="1"/>
  <c r="G20" i="26" s="1"/>
  <c r="M14" i="26"/>
  <c r="V45" i="24"/>
  <c r="B11" i="25" s="1"/>
  <c r="V48" i="24"/>
  <c r="AF52" i="24" s="1"/>
  <c r="V46" i="24"/>
  <c r="C11" i="25" s="1"/>
  <c r="V45" i="23"/>
  <c r="B10" i="25" s="1"/>
  <c r="C5" i="23"/>
  <c r="B5" i="23" s="1"/>
  <c r="C6" i="23"/>
  <c r="B6" i="23" s="1"/>
  <c r="V48" i="23"/>
  <c r="AF52" i="23" s="1"/>
  <c r="V46" i="20"/>
  <c r="C8" i="25" s="1"/>
  <c r="V48" i="20"/>
  <c r="AF52" i="20" s="1"/>
  <c r="C6" i="24"/>
  <c r="B6" i="24" s="1"/>
  <c r="V46" i="23"/>
  <c r="C10" i="25" s="1"/>
  <c r="V48" i="22"/>
  <c r="AF52" i="22" s="1"/>
  <c r="C5" i="22"/>
  <c r="B5" i="22" s="1"/>
  <c r="V45" i="22"/>
  <c r="B9" i="25" s="1"/>
  <c r="V46" i="22"/>
  <c r="C9" i="25" s="1"/>
  <c r="C6" i="22"/>
  <c r="B6" i="22" s="1"/>
  <c r="C6" i="20"/>
  <c r="B6" i="20" s="1"/>
  <c r="D14" i="30" l="1"/>
  <c r="C13" i="30"/>
  <c r="B13" i="30" s="1"/>
  <c r="C11" i="29"/>
  <c r="B11" i="29" s="1"/>
  <c r="D12" i="29"/>
  <c r="C11" i="27"/>
  <c r="B11" i="27" s="1"/>
  <c r="D12" i="27"/>
  <c r="X14" i="26"/>
  <c r="F12" i="26"/>
  <c r="E11" i="26"/>
  <c r="B11" i="26" s="1"/>
  <c r="C7" i="24"/>
  <c r="B7" i="24" s="1"/>
  <c r="C7" i="22"/>
  <c r="B7" i="22" s="1"/>
  <c r="C7" i="20"/>
  <c r="B7" i="20" s="1"/>
  <c r="D15" i="30" l="1"/>
  <c r="C14" i="30"/>
  <c r="B14" i="30" s="1"/>
  <c r="D13" i="29"/>
  <c r="C12" i="29"/>
  <c r="B12" i="29" s="1"/>
  <c r="C12" i="27"/>
  <c r="B12" i="27" s="1"/>
  <c r="D13" i="27"/>
  <c r="C7" i="23"/>
  <c r="B7" i="23" s="1"/>
  <c r="E12" i="26"/>
  <c r="B12" i="26" s="1"/>
  <c r="F13" i="26"/>
  <c r="C8" i="24"/>
  <c r="B8" i="24" s="1"/>
  <c r="C8" i="23"/>
  <c r="B8" i="23" s="1"/>
  <c r="C8" i="22"/>
  <c r="B8" i="22" s="1"/>
  <c r="C8" i="20"/>
  <c r="B8" i="20" s="1"/>
  <c r="D16" i="30" l="1"/>
  <c r="C15" i="30"/>
  <c r="B15" i="30" s="1"/>
  <c r="C13" i="29"/>
  <c r="B13" i="29" s="1"/>
  <c r="D14" i="29"/>
  <c r="C13" i="27"/>
  <c r="B13" i="27" s="1"/>
  <c r="D14" i="27"/>
  <c r="E13" i="26"/>
  <c r="B13" i="26" s="1"/>
  <c r="F14" i="26"/>
  <c r="C9" i="24"/>
  <c r="B9" i="24" s="1"/>
  <c r="C9" i="23"/>
  <c r="B9" i="23" s="1"/>
  <c r="C9" i="22"/>
  <c r="B9" i="22" s="1"/>
  <c r="C9" i="20"/>
  <c r="B9" i="20" s="1"/>
  <c r="D17" i="30" l="1"/>
  <c r="C16" i="30"/>
  <c r="B16" i="30" s="1"/>
  <c r="D15" i="29"/>
  <c r="C14" i="29"/>
  <c r="B14" i="29" s="1"/>
  <c r="D15" i="27"/>
  <c r="C14" i="27"/>
  <c r="B14" i="27" s="1"/>
  <c r="E14" i="26"/>
  <c r="B14" i="26" s="1"/>
  <c r="F15" i="26"/>
  <c r="C10" i="24"/>
  <c r="B10" i="24" s="1"/>
  <c r="C10" i="23"/>
  <c r="B10" i="23" s="1"/>
  <c r="C10" i="22"/>
  <c r="B10" i="22" s="1"/>
  <c r="C10" i="20"/>
  <c r="B10" i="20" s="1"/>
  <c r="X37" i="18"/>
  <c r="X36" i="18"/>
  <c r="X35" i="18"/>
  <c r="C4" i="18"/>
  <c r="B4" i="18" s="1"/>
  <c r="X49" i="18"/>
  <c r="V50" i="17"/>
  <c r="V26" i="17"/>
  <c r="V41" i="17"/>
  <c r="V39" i="17"/>
  <c r="V38" i="17"/>
  <c r="V35" i="17"/>
  <c r="V34" i="17"/>
  <c r="V33" i="17"/>
  <c r="V32" i="17"/>
  <c r="V29" i="17"/>
  <c r="V28" i="17"/>
  <c r="V27" i="17"/>
  <c r="V24" i="17"/>
  <c r="V23" i="17"/>
  <c r="V20" i="17"/>
  <c r="V18" i="17"/>
  <c r="V17" i="17"/>
  <c r="V16" i="17"/>
  <c r="V13" i="17"/>
  <c r="V11" i="17"/>
  <c r="V10" i="17"/>
  <c r="V9" i="17"/>
  <c r="V8" i="17"/>
  <c r="V7" i="17"/>
  <c r="V6" i="17"/>
  <c r="V5" i="17"/>
  <c r="V4" i="17"/>
  <c r="C3" i="17"/>
  <c r="D18" i="30" l="1"/>
  <c r="C17" i="30"/>
  <c r="B17" i="30" s="1"/>
  <c r="C15" i="29"/>
  <c r="B15" i="29" s="1"/>
  <c r="D16" i="29"/>
  <c r="D16" i="27"/>
  <c r="C15" i="27"/>
  <c r="B15" i="27" s="1"/>
  <c r="V49" i="17"/>
  <c r="AH50" i="17" s="1"/>
  <c r="B3" i="17"/>
  <c r="F16" i="26"/>
  <c r="E15" i="26"/>
  <c r="B15" i="26" s="1"/>
  <c r="C5" i="18"/>
  <c r="B5" i="18" s="1"/>
  <c r="X34" i="18"/>
  <c r="X13" i="18"/>
  <c r="C4" i="17"/>
  <c r="B4" i="17" s="1"/>
  <c r="C11" i="24"/>
  <c r="B11" i="24" s="1"/>
  <c r="C11" i="23"/>
  <c r="B11" i="23" s="1"/>
  <c r="C11" i="22"/>
  <c r="B11" i="22" s="1"/>
  <c r="C11" i="20"/>
  <c r="B11" i="20" s="1"/>
  <c r="AJ51" i="18"/>
  <c r="C6" i="17"/>
  <c r="B6" i="17" s="1"/>
  <c r="C5" i="17"/>
  <c r="B5" i="17" s="1"/>
  <c r="Q32" i="16"/>
  <c r="J33" i="16" s="1"/>
  <c r="G30" i="16"/>
  <c r="F33" i="16"/>
  <c r="F25" i="16"/>
  <c r="I23" i="16"/>
  <c r="D30" i="16"/>
  <c r="C3" i="16"/>
  <c r="D4" i="16"/>
  <c r="G4" i="16"/>
  <c r="C4" i="16" s="1"/>
  <c r="B4" i="16" s="1"/>
  <c r="V4" i="16"/>
  <c r="D5" i="16"/>
  <c r="E5" i="16"/>
  <c r="F5" i="16"/>
  <c r="H5" i="16"/>
  <c r="I5" i="16"/>
  <c r="J5" i="16"/>
  <c r="J6" i="16" s="1"/>
  <c r="J7" i="16" s="1"/>
  <c r="J8" i="16" s="1"/>
  <c r="J9" i="16" s="1"/>
  <c r="J10" i="16" s="1"/>
  <c r="J11" i="16" s="1"/>
  <c r="J12" i="16" s="1"/>
  <c r="J13" i="16" s="1"/>
  <c r="J14" i="16" s="1"/>
  <c r="V5" i="16"/>
  <c r="D6" i="16"/>
  <c r="E6" i="16"/>
  <c r="E7" i="16" s="1"/>
  <c r="F6" i="16"/>
  <c r="H6" i="16"/>
  <c r="H7" i="16" s="1"/>
  <c r="H8" i="16" s="1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H20" i="16" s="1"/>
  <c r="H21" i="16" s="1"/>
  <c r="H22" i="16" s="1"/>
  <c r="H23" i="16" s="1"/>
  <c r="H24" i="16" s="1"/>
  <c r="H25" i="16" s="1"/>
  <c r="H26" i="16" s="1"/>
  <c r="H27" i="16" s="1"/>
  <c r="H28" i="16" s="1"/>
  <c r="H29" i="16" s="1"/>
  <c r="H30" i="16" s="1"/>
  <c r="H31" i="16" s="1"/>
  <c r="H32" i="16" s="1"/>
  <c r="H33" i="16" s="1"/>
  <c r="H34" i="16" s="1"/>
  <c r="H35" i="16" s="1"/>
  <c r="H36" i="16" s="1"/>
  <c r="H37" i="16" s="1"/>
  <c r="H38" i="16" s="1"/>
  <c r="H39" i="16" s="1"/>
  <c r="H40" i="16" s="1"/>
  <c r="H41" i="16" s="1"/>
  <c r="H42" i="16" s="1"/>
  <c r="H43" i="16" s="1"/>
  <c r="H44" i="16" s="1"/>
  <c r="I6" i="16"/>
  <c r="I7" i="16" s="1"/>
  <c r="I8" i="16" s="1"/>
  <c r="I9" i="16" s="1"/>
  <c r="V6" i="16"/>
  <c r="D7" i="16"/>
  <c r="F7" i="16"/>
  <c r="F8" i="16" s="1"/>
  <c r="F9" i="16" s="1"/>
  <c r="F10" i="16" s="1"/>
  <c r="F11" i="16" s="1"/>
  <c r="F12" i="16" s="1"/>
  <c r="F13" i="16" s="1"/>
  <c r="F14" i="16" s="1"/>
  <c r="F15" i="16" s="1"/>
  <c r="F16" i="16" s="1"/>
  <c r="V7" i="16"/>
  <c r="D8" i="16"/>
  <c r="D9" i="16" s="1"/>
  <c r="D10" i="16" s="1"/>
  <c r="E8" i="16"/>
  <c r="E9" i="16" s="1"/>
  <c r="E10" i="16" s="1"/>
  <c r="E11" i="16" s="1"/>
  <c r="V8" i="16"/>
  <c r="V9" i="16"/>
  <c r="I10" i="16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I22" i="16" s="1"/>
  <c r="I24" i="16" s="1"/>
  <c r="V10" i="16"/>
  <c r="V11" i="16"/>
  <c r="E12" i="16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M12" i="16"/>
  <c r="O12" i="16"/>
  <c r="V12" i="16"/>
  <c r="V13" i="16"/>
  <c r="K14" i="16"/>
  <c r="L14" i="16"/>
  <c r="O14" i="16"/>
  <c r="V14" i="16"/>
  <c r="J15" i="16"/>
  <c r="J16" i="16" s="1"/>
  <c r="J17" i="16" s="1"/>
  <c r="J18" i="16" s="1"/>
  <c r="V15" i="16"/>
  <c r="V16" i="16"/>
  <c r="F17" i="16"/>
  <c r="F18" i="16" s="1"/>
  <c r="F19" i="16" s="1"/>
  <c r="F20" i="16" s="1"/>
  <c r="F21" i="16" s="1"/>
  <c r="F22" i="16" s="1"/>
  <c r="F23" i="16" s="1"/>
  <c r="F24" i="16" s="1"/>
  <c r="F26" i="16" s="1"/>
  <c r="F27" i="16" s="1"/>
  <c r="F28" i="16" s="1"/>
  <c r="F29" i="16" s="1"/>
  <c r="F30" i="16" s="1"/>
  <c r="F31" i="16" s="1"/>
  <c r="F32" i="16" s="1"/>
  <c r="V17" i="16"/>
  <c r="V18" i="16"/>
  <c r="J19" i="16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32" i="16" s="1"/>
  <c r="V19" i="16"/>
  <c r="L20" i="16"/>
  <c r="P20" i="16"/>
  <c r="V20" i="16"/>
  <c r="V21" i="16"/>
  <c r="V22" i="16"/>
  <c r="Q23" i="16"/>
  <c r="V23" i="16"/>
  <c r="V24" i="16"/>
  <c r="V25" i="16"/>
  <c r="P26" i="16"/>
  <c r="V26" i="16"/>
  <c r="V27" i="16"/>
  <c r="V28" i="16"/>
  <c r="V29" i="16"/>
  <c r="V30" i="16"/>
  <c r="V31" i="16"/>
  <c r="V33" i="16"/>
  <c r="V34" i="16"/>
  <c r="V35" i="16"/>
  <c r="V36" i="16"/>
  <c r="N37" i="16"/>
  <c r="P37" i="16"/>
  <c r="V37" i="16"/>
  <c r="Q38" i="16"/>
  <c r="V38" i="16"/>
  <c r="V39" i="16"/>
  <c r="V40" i="16"/>
  <c r="M41" i="16"/>
  <c r="O41" i="16"/>
  <c r="V41" i="16"/>
  <c r="V42" i="16"/>
  <c r="V43" i="16"/>
  <c r="I46" i="16"/>
  <c r="V48" i="16"/>
  <c r="AE50" i="16" s="1"/>
  <c r="C18" i="30" l="1"/>
  <c r="B18" i="30" s="1"/>
  <c r="D19" i="30"/>
  <c r="D17" i="29"/>
  <c r="C16" i="29"/>
  <c r="B16" i="29" s="1"/>
  <c r="D17" i="27"/>
  <c r="C16" i="27"/>
  <c r="B16" i="27" s="1"/>
  <c r="F17" i="26"/>
  <c r="E16" i="26"/>
  <c r="B16" i="26" s="1"/>
  <c r="C6" i="18"/>
  <c r="B6" i="18" s="1"/>
  <c r="C12" i="24"/>
  <c r="B12" i="24" s="1"/>
  <c r="C12" i="23"/>
  <c r="B12" i="23" s="1"/>
  <c r="C12" i="22"/>
  <c r="B12" i="22" s="1"/>
  <c r="C12" i="20"/>
  <c r="B12" i="20" s="1"/>
  <c r="C7" i="17"/>
  <c r="B7" i="17" s="1"/>
  <c r="J34" i="16"/>
  <c r="J35" i="16" s="1"/>
  <c r="J36" i="16" s="1"/>
  <c r="J37" i="16" s="1"/>
  <c r="J38" i="16" s="1"/>
  <c r="J39" i="16" s="1"/>
  <c r="J40" i="16" s="1"/>
  <c r="J41" i="16" s="1"/>
  <c r="J42" i="16" s="1"/>
  <c r="J43" i="16" s="1"/>
  <c r="J44" i="16" s="1"/>
  <c r="F34" i="16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I25" i="16"/>
  <c r="I26" i="16" s="1"/>
  <c r="I27" i="16" s="1"/>
  <c r="I28" i="16" s="1"/>
  <c r="I29" i="16" s="1"/>
  <c r="I30" i="16" s="1"/>
  <c r="I31" i="16" s="1"/>
  <c r="I32" i="16" s="1"/>
  <c r="I33" i="16" s="1"/>
  <c r="I34" i="16" s="1"/>
  <c r="I35" i="16" s="1"/>
  <c r="I36" i="16" s="1"/>
  <c r="I37" i="16" s="1"/>
  <c r="I38" i="16" s="1"/>
  <c r="I39" i="16" s="1"/>
  <c r="I40" i="16" s="1"/>
  <c r="I41" i="16" s="1"/>
  <c r="I42" i="16" s="1"/>
  <c r="I43" i="16" s="1"/>
  <c r="I44" i="16" s="1"/>
  <c r="D11" i="16"/>
  <c r="V32" i="16"/>
  <c r="V47" i="16" s="1"/>
  <c r="AE51" i="16" s="1"/>
  <c r="V44" i="16"/>
  <c r="G5" i="16"/>
  <c r="C19" i="30" l="1"/>
  <c r="B19" i="30" s="1"/>
  <c r="D20" i="30"/>
  <c r="B17" i="29"/>
  <c r="D18" i="29"/>
  <c r="D18" i="27"/>
  <c r="C17" i="27"/>
  <c r="B17" i="27" s="1"/>
  <c r="F18" i="26"/>
  <c r="E17" i="26"/>
  <c r="B17" i="26" s="1"/>
  <c r="C7" i="18"/>
  <c r="B7" i="18" s="1"/>
  <c r="C13" i="24"/>
  <c r="B13" i="24" s="1"/>
  <c r="C13" i="23"/>
  <c r="B13" i="23" s="1"/>
  <c r="C13" i="22"/>
  <c r="B13" i="22" s="1"/>
  <c r="C13" i="20"/>
  <c r="B13" i="20" s="1"/>
  <c r="C8" i="17"/>
  <c r="B8" i="17" s="1"/>
  <c r="V45" i="16"/>
  <c r="G6" i="16"/>
  <c r="C5" i="16"/>
  <c r="B5" i="16" s="1"/>
  <c r="D12" i="16"/>
  <c r="C20" i="30" l="1"/>
  <c r="B20" i="30" s="1"/>
  <c r="D21" i="30"/>
  <c r="D19" i="29"/>
  <c r="C18" i="29"/>
  <c r="B18" i="29" s="1"/>
  <c r="C18" i="27"/>
  <c r="B18" i="27" s="1"/>
  <c r="F19" i="26"/>
  <c r="E18" i="26"/>
  <c r="B18" i="26" s="1"/>
  <c r="C9" i="18"/>
  <c r="B9" i="18" s="1"/>
  <c r="C14" i="24"/>
  <c r="B14" i="24" s="1"/>
  <c r="C14" i="23"/>
  <c r="B14" i="23" s="1"/>
  <c r="C14" i="22"/>
  <c r="B14" i="22" s="1"/>
  <c r="C14" i="20"/>
  <c r="B14" i="20" s="1"/>
  <c r="C9" i="17"/>
  <c r="B9" i="17" s="1"/>
  <c r="D13" i="16"/>
  <c r="G7" i="16"/>
  <c r="C6" i="16"/>
  <c r="B6" i="16" s="1"/>
  <c r="C21" i="30" l="1"/>
  <c r="B21" i="30" s="1"/>
  <c r="D22" i="30"/>
  <c r="C19" i="29"/>
  <c r="B19" i="29" s="1"/>
  <c r="D20" i="29"/>
  <c r="E19" i="26"/>
  <c r="B19" i="26" s="1"/>
  <c r="F20" i="26"/>
  <c r="C8" i="18"/>
  <c r="B8" i="18" s="1"/>
  <c r="C15" i="24"/>
  <c r="B15" i="24" s="1"/>
  <c r="C15" i="23"/>
  <c r="B15" i="23" s="1"/>
  <c r="C15" i="22"/>
  <c r="B15" i="22" s="1"/>
  <c r="C15" i="20"/>
  <c r="B15" i="20" s="1"/>
  <c r="C10" i="17"/>
  <c r="B10" i="17" s="1"/>
  <c r="D14" i="16"/>
  <c r="G8" i="16"/>
  <c r="C7" i="16"/>
  <c r="B7" i="16" s="1"/>
  <c r="D23" i="30" l="1"/>
  <c r="C22" i="30"/>
  <c r="B22" i="30" s="1"/>
  <c r="D21" i="29"/>
  <c r="C20" i="29"/>
  <c r="B20" i="29" s="1"/>
  <c r="M20" i="26"/>
  <c r="E20" i="26"/>
  <c r="B20" i="26" s="1"/>
  <c r="F21" i="26"/>
  <c r="C10" i="18"/>
  <c r="B10" i="18" s="1"/>
  <c r="C16" i="24"/>
  <c r="B16" i="24" s="1"/>
  <c r="C16" i="23"/>
  <c r="B16" i="23" s="1"/>
  <c r="C16" i="22"/>
  <c r="B16" i="22" s="1"/>
  <c r="C16" i="20"/>
  <c r="B16" i="20" s="1"/>
  <c r="C11" i="17"/>
  <c r="B11" i="17" s="1"/>
  <c r="G9" i="16"/>
  <c r="C8" i="16"/>
  <c r="B8" i="16" s="1"/>
  <c r="D15" i="16"/>
  <c r="D24" i="30" l="1"/>
  <c r="C23" i="30"/>
  <c r="B23" i="30" s="1"/>
  <c r="D22" i="29"/>
  <c r="C21" i="29"/>
  <c r="B21" i="29" s="1"/>
  <c r="F22" i="26"/>
  <c r="N20" i="26"/>
  <c r="C11" i="18"/>
  <c r="B11" i="18" s="1"/>
  <c r="C17" i="24"/>
  <c r="B17" i="24" s="1"/>
  <c r="C17" i="23"/>
  <c r="B17" i="23" s="1"/>
  <c r="C19" i="22"/>
  <c r="C17" i="22"/>
  <c r="B17" i="22" s="1"/>
  <c r="C17" i="20"/>
  <c r="B17" i="20" s="1"/>
  <c r="D16" i="16"/>
  <c r="G10" i="16"/>
  <c r="C9" i="16"/>
  <c r="B9" i="16" s="1"/>
  <c r="D25" i="30" l="1"/>
  <c r="C24" i="30"/>
  <c r="B24" i="30" s="1"/>
  <c r="C22" i="29"/>
  <c r="B22" i="29" s="1"/>
  <c r="D23" i="29"/>
  <c r="S20" i="26"/>
  <c r="L21" i="26" s="1"/>
  <c r="L22" i="26" s="1"/>
  <c r="L23" i="26" s="1"/>
  <c r="G21" i="26"/>
  <c r="X20" i="26"/>
  <c r="F23" i="26"/>
  <c r="C18" i="24"/>
  <c r="B18" i="24" s="1"/>
  <c r="C18" i="23"/>
  <c r="B18" i="23" s="1"/>
  <c r="C18" i="22"/>
  <c r="B18" i="22" s="1"/>
  <c r="C18" i="20"/>
  <c r="B18" i="20" s="1"/>
  <c r="G11" i="16"/>
  <c r="C10" i="16"/>
  <c r="B10" i="16" s="1"/>
  <c r="D17" i="16"/>
  <c r="D26" i="30" l="1"/>
  <c r="C25" i="30"/>
  <c r="B25" i="30" s="1"/>
  <c r="D24" i="29"/>
  <c r="C23" i="29"/>
  <c r="B23" i="29" s="1"/>
  <c r="F24" i="26"/>
  <c r="G22" i="26"/>
  <c r="E21" i="26"/>
  <c r="B21" i="26" s="1"/>
  <c r="S23" i="26"/>
  <c r="R23" i="26" s="1"/>
  <c r="C19" i="24"/>
  <c r="B19" i="24" s="1"/>
  <c r="C19" i="23"/>
  <c r="B19" i="23" s="1"/>
  <c r="B19" i="22"/>
  <c r="C19" i="20"/>
  <c r="B19" i="20" s="1"/>
  <c r="D18" i="16"/>
  <c r="G12" i="16"/>
  <c r="C11" i="16"/>
  <c r="B11" i="16" s="1"/>
  <c r="D27" i="30" l="1"/>
  <c r="C26" i="30"/>
  <c r="B26" i="30" s="1"/>
  <c r="D25" i="29"/>
  <c r="C24" i="29"/>
  <c r="B24" i="29" s="1"/>
  <c r="G23" i="26"/>
  <c r="E22" i="26"/>
  <c r="B22" i="26" s="1"/>
  <c r="X23" i="26"/>
  <c r="K24" i="26"/>
  <c r="K25" i="26" s="1"/>
  <c r="K26" i="26" s="1"/>
  <c r="K27" i="26" s="1"/>
  <c r="K28" i="26" s="1"/>
  <c r="K29" i="26" s="1"/>
  <c r="K30" i="26" s="1"/>
  <c r="K31" i="26" s="1"/>
  <c r="K32" i="26" s="1"/>
  <c r="L24" i="26"/>
  <c r="L25" i="26" s="1"/>
  <c r="L26" i="26" s="1"/>
  <c r="L27" i="26" s="1"/>
  <c r="L28" i="26" s="1"/>
  <c r="L29" i="26" s="1"/>
  <c r="L30" i="26" s="1"/>
  <c r="L31" i="26" s="1"/>
  <c r="L32" i="26" s="1"/>
  <c r="L33" i="26" s="1"/>
  <c r="L34" i="26" s="1"/>
  <c r="L35" i="26" s="1"/>
  <c r="L36" i="26" s="1"/>
  <c r="L37" i="26" s="1"/>
  <c r="L38" i="26" s="1"/>
  <c r="F25" i="26"/>
  <c r="C20" i="24"/>
  <c r="B20" i="24" s="1"/>
  <c r="C20" i="23"/>
  <c r="B20" i="23" s="1"/>
  <c r="C20" i="22"/>
  <c r="B20" i="22" s="1"/>
  <c r="C20" i="20"/>
  <c r="B20" i="20" s="1"/>
  <c r="G13" i="16"/>
  <c r="C12" i="16"/>
  <c r="B12" i="16" s="1"/>
  <c r="D19" i="16"/>
  <c r="D28" i="30" l="1"/>
  <c r="C27" i="30"/>
  <c r="B27" i="30" s="1"/>
  <c r="D26" i="29"/>
  <c r="D27" i="29" s="1"/>
  <c r="C25" i="29"/>
  <c r="B25" i="29" s="1"/>
  <c r="R32" i="26"/>
  <c r="F26" i="26"/>
  <c r="G24" i="26"/>
  <c r="E23" i="26"/>
  <c r="B23" i="26" s="1"/>
  <c r="C21" i="24"/>
  <c r="B21" i="24" s="1"/>
  <c r="C21" i="23"/>
  <c r="B21" i="23" s="1"/>
  <c r="C21" i="22"/>
  <c r="B21" i="22" s="1"/>
  <c r="C21" i="20"/>
  <c r="B21" i="20" s="1"/>
  <c r="D20" i="16"/>
  <c r="G14" i="16"/>
  <c r="C13" i="16"/>
  <c r="B13" i="16" s="1"/>
  <c r="V43" i="13"/>
  <c r="V42" i="13"/>
  <c r="V40" i="13"/>
  <c r="V39" i="13"/>
  <c r="V36" i="13"/>
  <c r="V31" i="13"/>
  <c r="V30" i="13"/>
  <c r="V29" i="13"/>
  <c r="V28" i="13"/>
  <c r="V27" i="13"/>
  <c r="V25" i="13"/>
  <c r="V24" i="13"/>
  <c r="V22" i="13"/>
  <c r="V21" i="13"/>
  <c r="V19" i="13"/>
  <c r="V18" i="13"/>
  <c r="V17" i="13"/>
  <c r="V16" i="13"/>
  <c r="V15" i="13"/>
  <c r="V13" i="13"/>
  <c r="V11" i="13"/>
  <c r="V10" i="13"/>
  <c r="V9" i="13"/>
  <c r="V8" i="13"/>
  <c r="V7" i="13"/>
  <c r="V6" i="13"/>
  <c r="V5" i="13"/>
  <c r="B4" i="13"/>
  <c r="D29" i="30" l="1"/>
  <c r="C28" i="30"/>
  <c r="B28" i="30" s="1"/>
  <c r="C26" i="29"/>
  <c r="B26" i="29" s="1"/>
  <c r="F27" i="26"/>
  <c r="M32" i="26"/>
  <c r="K33" i="26"/>
  <c r="K34" i="26" s="1"/>
  <c r="K35" i="26" s="1"/>
  <c r="K36" i="26" s="1"/>
  <c r="K37" i="26" s="1"/>
  <c r="G25" i="26"/>
  <c r="E24" i="26"/>
  <c r="B24" i="26" s="1"/>
  <c r="V34" i="13"/>
  <c r="AG53" i="13"/>
  <c r="V35" i="13"/>
  <c r="V33" i="13"/>
  <c r="C22" i="24"/>
  <c r="B22" i="24" s="1"/>
  <c r="C22" i="23"/>
  <c r="B22" i="23" s="1"/>
  <c r="C22" i="22"/>
  <c r="B22" i="22" s="1"/>
  <c r="C22" i="20"/>
  <c r="B22" i="20" s="1"/>
  <c r="D21" i="16"/>
  <c r="G15" i="16"/>
  <c r="C14" i="16"/>
  <c r="B14" i="16" s="1"/>
  <c r="D30" i="30" l="1"/>
  <c r="C29" i="30"/>
  <c r="B29" i="30" s="1"/>
  <c r="D28" i="29"/>
  <c r="C27" i="29"/>
  <c r="B27" i="29" s="1"/>
  <c r="G26" i="26"/>
  <c r="E25" i="26"/>
  <c r="B25" i="26" s="1"/>
  <c r="F28" i="26"/>
  <c r="C5" i="13"/>
  <c r="B5" i="13" s="1"/>
  <c r="C23" i="24"/>
  <c r="B23" i="24" s="1"/>
  <c r="C23" i="23"/>
  <c r="B23" i="23" s="1"/>
  <c r="C23" i="22"/>
  <c r="B23" i="22" s="1"/>
  <c r="C23" i="20"/>
  <c r="B23" i="20" s="1"/>
  <c r="G16" i="16"/>
  <c r="C15" i="16"/>
  <c r="B15" i="16" s="1"/>
  <c r="D22" i="16"/>
  <c r="C6" i="13"/>
  <c r="B6" i="13" s="1"/>
  <c r="D31" i="30" l="1"/>
  <c r="C30" i="30"/>
  <c r="B30" i="30" s="1"/>
  <c r="D29" i="29"/>
  <c r="C28" i="29"/>
  <c r="B28" i="29" s="1"/>
  <c r="F29" i="26"/>
  <c r="G27" i="26"/>
  <c r="E26" i="26"/>
  <c r="B26" i="26" s="1"/>
  <c r="V19" i="17"/>
  <c r="C24" i="24"/>
  <c r="B24" i="24" s="1"/>
  <c r="C24" i="23"/>
  <c r="B24" i="23" s="1"/>
  <c r="C24" i="22"/>
  <c r="B24" i="22" s="1"/>
  <c r="C24" i="20"/>
  <c r="B24" i="20" s="1"/>
  <c r="D23" i="16"/>
  <c r="G17" i="16"/>
  <c r="C16" i="16"/>
  <c r="B16" i="16" s="1"/>
  <c r="C7" i="13"/>
  <c r="B7" i="13" s="1"/>
  <c r="D32" i="30" l="1"/>
  <c r="C31" i="30"/>
  <c r="B31" i="30" s="1"/>
  <c r="C29" i="29"/>
  <c r="B29" i="29" s="1"/>
  <c r="D30" i="29"/>
  <c r="G28" i="26"/>
  <c r="E27" i="26"/>
  <c r="B27" i="26" s="1"/>
  <c r="F30" i="26"/>
  <c r="C25" i="24"/>
  <c r="B25" i="24" s="1"/>
  <c r="C25" i="23"/>
  <c r="B25" i="23" s="1"/>
  <c r="C25" i="22"/>
  <c r="B25" i="22" s="1"/>
  <c r="C25" i="20"/>
  <c r="B25" i="20" s="1"/>
  <c r="G18" i="16"/>
  <c r="C17" i="16"/>
  <c r="B17" i="16" s="1"/>
  <c r="D24" i="16"/>
  <c r="D33" i="30" l="1"/>
  <c r="C32" i="30"/>
  <c r="B32" i="30" s="1"/>
  <c r="C30" i="29"/>
  <c r="B30" i="29" s="1"/>
  <c r="D31" i="29"/>
  <c r="F31" i="26"/>
  <c r="G29" i="26"/>
  <c r="E28" i="26"/>
  <c r="B28" i="26" s="1"/>
  <c r="Q21" i="17"/>
  <c r="W21" i="17" s="1"/>
  <c r="C8" i="13"/>
  <c r="B8" i="13" s="1"/>
  <c r="C9" i="13"/>
  <c r="B9" i="13" s="1"/>
  <c r="C26" i="24"/>
  <c r="B26" i="24" s="1"/>
  <c r="C26" i="23"/>
  <c r="B26" i="23" s="1"/>
  <c r="C26" i="22"/>
  <c r="B26" i="22" s="1"/>
  <c r="C26" i="20"/>
  <c r="B26" i="20" s="1"/>
  <c r="D25" i="16"/>
  <c r="G19" i="16"/>
  <c r="C18" i="16"/>
  <c r="B18" i="16" s="1"/>
  <c r="D34" i="30" l="1"/>
  <c r="C33" i="30"/>
  <c r="B33" i="30" s="1"/>
  <c r="D32" i="29"/>
  <c r="C31" i="29"/>
  <c r="B31" i="29" s="1"/>
  <c r="F32" i="26"/>
  <c r="G30" i="26"/>
  <c r="E29" i="26"/>
  <c r="B29" i="26" s="1"/>
  <c r="P25" i="17"/>
  <c r="W25" i="17" s="1"/>
  <c r="V21" i="17"/>
  <c r="C27" i="24"/>
  <c r="B27" i="24" s="1"/>
  <c r="C27" i="23"/>
  <c r="B27" i="23" s="1"/>
  <c r="C27" i="22"/>
  <c r="B27" i="22" s="1"/>
  <c r="C27" i="20"/>
  <c r="B27" i="20" s="1"/>
  <c r="G20" i="16"/>
  <c r="C19" i="16"/>
  <c r="B19" i="16" s="1"/>
  <c r="D26" i="16"/>
  <c r="C10" i="13"/>
  <c r="B10" i="13" s="1"/>
  <c r="D35" i="30" l="1"/>
  <c r="C34" i="30"/>
  <c r="B34" i="30" s="1"/>
  <c r="C32" i="29"/>
  <c r="B32" i="29" s="1"/>
  <c r="D33" i="29"/>
  <c r="G31" i="26"/>
  <c r="E30" i="26"/>
  <c r="B30" i="26" s="1"/>
  <c r="F33" i="26"/>
  <c r="V25" i="17"/>
  <c r="C28" i="24"/>
  <c r="B28" i="24" s="1"/>
  <c r="C28" i="23"/>
  <c r="B28" i="23" s="1"/>
  <c r="C28" i="22"/>
  <c r="B28" i="22" s="1"/>
  <c r="C28" i="20"/>
  <c r="B28" i="20" s="1"/>
  <c r="D27" i="16"/>
  <c r="G21" i="16"/>
  <c r="C20" i="16"/>
  <c r="B20" i="16" s="1"/>
  <c r="C11" i="13"/>
  <c r="B11" i="13" s="1"/>
  <c r="M41" i="7"/>
  <c r="O41" i="7"/>
  <c r="Q38" i="7"/>
  <c r="V38" i="7" s="1"/>
  <c r="P37" i="7"/>
  <c r="N37" i="7"/>
  <c r="N34" i="7"/>
  <c r="N35" i="7"/>
  <c r="K34" i="7"/>
  <c r="K35" i="7"/>
  <c r="N33" i="7"/>
  <c r="K33" i="7"/>
  <c r="N32" i="7"/>
  <c r="K32" i="7"/>
  <c r="P26" i="7"/>
  <c r="V26" i="7" s="1"/>
  <c r="Q23" i="7"/>
  <c r="V23" i="7" s="1"/>
  <c r="P20" i="7"/>
  <c r="L20" i="7"/>
  <c r="K14" i="7"/>
  <c r="L14" i="7"/>
  <c r="O14" i="7"/>
  <c r="O12" i="7"/>
  <c r="M12" i="7"/>
  <c r="I46" i="7"/>
  <c r="V43" i="7"/>
  <c r="V42" i="7"/>
  <c r="V40" i="7"/>
  <c r="V39" i="7"/>
  <c r="V36" i="7"/>
  <c r="V31" i="7"/>
  <c r="V30" i="7"/>
  <c r="V29" i="7"/>
  <c r="V28" i="7"/>
  <c r="V27" i="7"/>
  <c r="V25" i="7"/>
  <c r="V24" i="7"/>
  <c r="V22" i="7"/>
  <c r="V21" i="7"/>
  <c r="V19" i="7"/>
  <c r="V18" i="7"/>
  <c r="V17" i="7"/>
  <c r="V16" i="7"/>
  <c r="V15" i="7"/>
  <c r="V13" i="7"/>
  <c r="V11" i="7"/>
  <c r="V10" i="7"/>
  <c r="V9" i="7"/>
  <c r="V8" i="7"/>
  <c r="V7" i="7"/>
  <c r="V6" i="7"/>
  <c r="F6" i="7"/>
  <c r="F7" i="7" s="1"/>
  <c r="F8" i="7" s="1"/>
  <c r="F9" i="7" s="1"/>
  <c r="F10" i="7" s="1"/>
  <c r="F11" i="7" s="1"/>
  <c r="F12" i="7" s="1"/>
  <c r="V5" i="7"/>
  <c r="J5" i="7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I5" i="7"/>
  <c r="I6" i="7" s="1"/>
  <c r="I7" i="7" s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H5" i="7"/>
  <c r="H6" i="7" s="1"/>
  <c r="H7" i="7" s="1"/>
  <c r="H8" i="7" s="1"/>
  <c r="H9" i="7" s="1"/>
  <c r="H10" i="7" s="1"/>
  <c r="H11" i="7" s="1"/>
  <c r="H12" i="7" s="1"/>
  <c r="H13" i="7" s="1"/>
  <c r="H14" i="7" s="1"/>
  <c r="F5" i="7"/>
  <c r="E5" i="7"/>
  <c r="E6" i="7" s="1"/>
  <c r="E7" i="7" s="1"/>
  <c r="E8" i="7" s="1"/>
  <c r="E9" i="7" s="1"/>
  <c r="E10" i="7" s="1"/>
  <c r="E11" i="7" s="1"/>
  <c r="E12" i="7" s="1"/>
  <c r="E13" i="7" s="1"/>
  <c r="V4" i="7"/>
  <c r="G4" i="7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D4" i="7"/>
  <c r="C4" i="7" s="1"/>
  <c r="B4" i="7" s="1"/>
  <c r="C3" i="7"/>
  <c r="V48" i="7" s="1"/>
  <c r="AE50" i="7" s="1"/>
  <c r="H46" i="3"/>
  <c r="D36" i="30" l="1"/>
  <c r="C35" i="30"/>
  <c r="B35" i="30" s="1"/>
  <c r="D34" i="29"/>
  <c r="C33" i="29"/>
  <c r="B33" i="29" s="1"/>
  <c r="F34" i="26"/>
  <c r="G32" i="26"/>
  <c r="E31" i="26"/>
  <c r="B31" i="26" s="1"/>
  <c r="C29" i="24"/>
  <c r="B29" i="24" s="1"/>
  <c r="C29" i="23"/>
  <c r="B29" i="23" s="1"/>
  <c r="C29" i="22"/>
  <c r="B29" i="22" s="1"/>
  <c r="C29" i="20"/>
  <c r="B29" i="20" s="1"/>
  <c r="G22" i="16"/>
  <c r="C21" i="16"/>
  <c r="B21" i="16" s="1"/>
  <c r="D28" i="16"/>
  <c r="V20" i="7"/>
  <c r="E14" i="7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D5" i="7"/>
  <c r="D6" i="7" s="1"/>
  <c r="C6" i="7" s="1"/>
  <c r="B6" i="7" s="1"/>
  <c r="H15" i="7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V37" i="7"/>
  <c r="F13" i="7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V33" i="7"/>
  <c r="V41" i="7"/>
  <c r="V35" i="7"/>
  <c r="V14" i="7"/>
  <c r="V12" i="7"/>
  <c r="V44" i="7" s="1"/>
  <c r="V32" i="7"/>
  <c r="V34" i="7"/>
  <c r="G33" i="7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I27" i="7"/>
  <c r="I28" i="7" s="1"/>
  <c r="I29" i="7" s="1"/>
  <c r="I30" i="7" s="1"/>
  <c r="I31" i="7" s="1"/>
  <c r="I32" i="7" s="1"/>
  <c r="I33" i="7" s="1"/>
  <c r="I34" i="7" s="1"/>
  <c r="J24" i="7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D7" i="7"/>
  <c r="C5" i="7"/>
  <c r="B5" i="7" s="1"/>
  <c r="H38" i="3"/>
  <c r="H39" i="3" s="1"/>
  <c r="H40" i="3" s="1"/>
  <c r="H41" i="3" s="1"/>
  <c r="H42" i="3" s="1"/>
  <c r="H43" i="3" s="1"/>
  <c r="H44" i="3" s="1"/>
  <c r="F9" i="3"/>
  <c r="F8" i="3"/>
  <c r="F7" i="3"/>
  <c r="H24" i="3"/>
  <c r="H25" i="3"/>
  <c r="C4" i="3"/>
  <c r="F4" i="3"/>
  <c r="B4" i="3"/>
  <c r="B3" i="3"/>
  <c r="U48" i="3" s="1"/>
  <c r="AD50" i="3" s="1"/>
  <c r="U37" i="3"/>
  <c r="E20" i="3"/>
  <c r="E19" i="3"/>
  <c r="D37" i="30" l="1"/>
  <c r="C36" i="30"/>
  <c r="B36" i="30" s="1"/>
  <c r="C34" i="29"/>
  <c r="B34" i="29" s="1"/>
  <c r="D35" i="29"/>
  <c r="N32" i="26"/>
  <c r="G33" i="26"/>
  <c r="E32" i="26"/>
  <c r="B32" i="26" s="1"/>
  <c r="F35" i="26"/>
  <c r="C30" i="24"/>
  <c r="B30" i="24" s="1"/>
  <c r="C30" i="23"/>
  <c r="B30" i="23" s="1"/>
  <c r="C30" i="22"/>
  <c r="B30" i="22" s="1"/>
  <c r="C30" i="20"/>
  <c r="B30" i="20" s="1"/>
  <c r="G23" i="16"/>
  <c r="C22" i="16"/>
  <c r="B22" i="16" s="1"/>
  <c r="D29" i="16"/>
  <c r="V45" i="7"/>
  <c r="V47" i="7"/>
  <c r="AE51" i="7" s="1"/>
  <c r="I35" i="7"/>
  <c r="I36" i="7" s="1"/>
  <c r="I37" i="7" s="1"/>
  <c r="I38" i="7" s="1"/>
  <c r="I39" i="7" s="1"/>
  <c r="I40" i="7" s="1"/>
  <c r="I41" i="7" s="1"/>
  <c r="I42" i="7" s="1"/>
  <c r="I43" i="7" s="1"/>
  <c r="I44" i="7" s="1"/>
  <c r="J35" i="7"/>
  <c r="J36" i="7" s="1"/>
  <c r="J37" i="7" s="1"/>
  <c r="J38" i="7" s="1"/>
  <c r="J39" i="7" s="1"/>
  <c r="J40" i="7" s="1"/>
  <c r="J41" i="7" s="1"/>
  <c r="J42" i="7" s="1"/>
  <c r="J43" i="7" s="1"/>
  <c r="J44" i="7" s="1"/>
  <c r="C7" i="7"/>
  <c r="B7" i="7" s="1"/>
  <c r="D8" i="7"/>
  <c r="E17" i="3"/>
  <c r="H19" i="3"/>
  <c r="U12" i="3"/>
  <c r="G15" i="3"/>
  <c r="D8" i="3"/>
  <c r="D38" i="30" l="1"/>
  <c r="C37" i="30"/>
  <c r="B37" i="30" s="1"/>
  <c r="D36" i="29"/>
  <c r="C35" i="29"/>
  <c r="B35" i="29" s="1"/>
  <c r="F36" i="26"/>
  <c r="G34" i="26"/>
  <c r="P32" i="26"/>
  <c r="I33" i="26" s="1"/>
  <c r="I34" i="26" s="1"/>
  <c r="I35" i="26" s="1"/>
  <c r="I36" i="26" s="1"/>
  <c r="I37" i="26" s="1"/>
  <c r="V31" i="17"/>
  <c r="C31" i="24"/>
  <c r="B31" i="24" s="1"/>
  <c r="C31" i="23"/>
  <c r="B31" i="23" s="1"/>
  <c r="C31" i="22"/>
  <c r="B31" i="22" s="1"/>
  <c r="C31" i="20"/>
  <c r="B31" i="20" s="1"/>
  <c r="G24" i="16"/>
  <c r="C23" i="16"/>
  <c r="B23" i="16" s="1"/>
  <c r="D9" i="7"/>
  <c r="C8" i="7"/>
  <c r="B8" i="7" s="1"/>
  <c r="C5" i="3"/>
  <c r="C6" i="3" s="1"/>
  <c r="C7" i="3" s="1"/>
  <c r="C8" i="3" s="1"/>
  <c r="F5" i="3"/>
  <c r="F6" i="3" s="1"/>
  <c r="D39" i="30" l="1"/>
  <c r="C38" i="30"/>
  <c r="B38" i="30" s="1"/>
  <c r="C36" i="29"/>
  <c r="B36" i="29" s="1"/>
  <c r="D37" i="29"/>
  <c r="X32" i="26"/>
  <c r="X45" i="26" s="1"/>
  <c r="F37" i="26"/>
  <c r="E33" i="26"/>
  <c r="B33" i="26" s="1"/>
  <c r="G35" i="26"/>
  <c r="E34" i="26"/>
  <c r="B34" i="26" s="1"/>
  <c r="C32" i="24"/>
  <c r="B32" i="24" s="1"/>
  <c r="C32" i="23"/>
  <c r="B32" i="23" s="1"/>
  <c r="C32" i="22"/>
  <c r="B32" i="22" s="1"/>
  <c r="C32" i="20"/>
  <c r="B32" i="20" s="1"/>
  <c r="D31" i="16"/>
  <c r="G25" i="16"/>
  <c r="C24" i="16"/>
  <c r="B24" i="16" s="1"/>
  <c r="D10" i="7"/>
  <c r="C9" i="7"/>
  <c r="B9" i="7" s="1"/>
  <c r="C9" i="3"/>
  <c r="D40" i="30" l="1"/>
  <c r="C39" i="30"/>
  <c r="B39" i="30" s="1"/>
  <c r="D38" i="29"/>
  <c r="C37" i="29"/>
  <c r="B37" i="29" s="1"/>
  <c r="G36" i="26"/>
  <c r="E35" i="26"/>
  <c r="B35" i="26" s="1"/>
  <c r="M37" i="26"/>
  <c r="F38" i="26"/>
  <c r="C33" i="24"/>
  <c r="B33" i="24" s="1"/>
  <c r="C33" i="23"/>
  <c r="B33" i="23" s="1"/>
  <c r="C33" i="22"/>
  <c r="B33" i="22" s="1"/>
  <c r="C33" i="20"/>
  <c r="B33" i="20" s="1"/>
  <c r="D32" i="16"/>
  <c r="G26" i="16"/>
  <c r="C25" i="16"/>
  <c r="B25" i="16" s="1"/>
  <c r="C10" i="7"/>
  <c r="B10" i="7" s="1"/>
  <c r="D11" i="7"/>
  <c r="G5" i="3"/>
  <c r="U41" i="3"/>
  <c r="U42" i="3"/>
  <c r="U43" i="3"/>
  <c r="U40" i="3"/>
  <c r="U39" i="3"/>
  <c r="U38" i="3"/>
  <c r="U36" i="3"/>
  <c r="U35" i="3"/>
  <c r="U34" i="3"/>
  <c r="U5" i="3"/>
  <c r="U6" i="3"/>
  <c r="U7" i="3"/>
  <c r="U8" i="3"/>
  <c r="U9" i="3"/>
  <c r="U47" i="3" s="1"/>
  <c r="AD51" i="3" s="1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4" i="3"/>
  <c r="I5" i="3"/>
  <c r="I6" i="3" s="1"/>
  <c r="I7" i="3" s="1"/>
  <c r="I8" i="3" s="1"/>
  <c r="I9" i="3" s="1"/>
  <c r="I10" i="3" s="1"/>
  <c r="I11" i="3" s="1"/>
  <c r="I12" i="3" s="1"/>
  <c r="H5" i="3"/>
  <c r="H6" i="3" s="1"/>
  <c r="H7" i="3" s="1"/>
  <c r="H8" i="3" s="1"/>
  <c r="H9" i="3" s="1"/>
  <c r="H10" i="3" s="1"/>
  <c r="H11" i="3" s="1"/>
  <c r="H12" i="3" s="1"/>
  <c r="G6" i="3"/>
  <c r="G7" i="3" s="1"/>
  <c r="G8" i="3" s="1"/>
  <c r="G9" i="3" s="1"/>
  <c r="G10" i="3" s="1"/>
  <c r="G11" i="3" s="1"/>
  <c r="G12" i="3" s="1"/>
  <c r="G13" i="3" s="1"/>
  <c r="G14" i="3" s="1"/>
  <c r="E5" i="3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D5" i="3"/>
  <c r="D6" i="3" s="1"/>
  <c r="D7" i="3" s="1"/>
  <c r="D41" i="30" l="1"/>
  <c r="C40" i="30"/>
  <c r="B40" i="30" s="1"/>
  <c r="C38" i="29"/>
  <c r="B38" i="29" s="1"/>
  <c r="D39" i="29"/>
  <c r="F39" i="26"/>
  <c r="P37" i="26"/>
  <c r="I38" i="26" s="1"/>
  <c r="I39" i="26" s="1"/>
  <c r="I40" i="26" s="1"/>
  <c r="I41" i="26" s="1"/>
  <c r="I42" i="26" s="1"/>
  <c r="I43" i="26" s="1"/>
  <c r="I44" i="26" s="1"/>
  <c r="R37" i="26"/>
  <c r="K38" i="26" s="1"/>
  <c r="G37" i="26"/>
  <c r="E36" i="26"/>
  <c r="B36" i="26" s="1"/>
  <c r="C34" i="24"/>
  <c r="B34" i="24" s="1"/>
  <c r="C34" i="23"/>
  <c r="B34" i="23" s="1"/>
  <c r="C34" i="22"/>
  <c r="B34" i="22" s="1"/>
  <c r="C34" i="20"/>
  <c r="B34" i="20" s="1"/>
  <c r="D33" i="16"/>
  <c r="G27" i="16"/>
  <c r="C26" i="16"/>
  <c r="B26" i="16" s="1"/>
  <c r="C11" i="7"/>
  <c r="B11" i="7" s="1"/>
  <c r="D12" i="7"/>
  <c r="I13" i="3"/>
  <c r="I14" i="3" s="1"/>
  <c r="I15" i="3" s="1"/>
  <c r="I16" i="3" s="1"/>
  <c r="I17" i="3" s="1"/>
  <c r="U45" i="3"/>
  <c r="B8" i="3"/>
  <c r="E18" i="3"/>
  <c r="E21" i="3" s="1"/>
  <c r="E22" i="3" s="1"/>
  <c r="E23" i="3" s="1"/>
  <c r="E24" i="3" s="1"/>
  <c r="G16" i="3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U44" i="3"/>
  <c r="B5" i="3"/>
  <c r="H13" i="3"/>
  <c r="H14" i="3" s="1"/>
  <c r="H15" i="3" s="1"/>
  <c r="H16" i="3" s="1"/>
  <c r="H17" i="3" s="1"/>
  <c r="H18" i="3" s="1"/>
  <c r="D9" i="3"/>
  <c r="D10" i="3" s="1"/>
  <c r="D11" i="3" s="1"/>
  <c r="D12" i="3" s="1"/>
  <c r="C41" i="30" l="1"/>
  <c r="B41" i="30" s="1"/>
  <c r="D42" i="30"/>
  <c r="D40" i="29"/>
  <c r="C39" i="29"/>
  <c r="B39" i="29" s="1"/>
  <c r="X37" i="26"/>
  <c r="R38" i="26"/>
  <c r="K39" i="26" s="1"/>
  <c r="K40" i="26" s="1"/>
  <c r="K41" i="26" s="1"/>
  <c r="K42" i="26" s="1"/>
  <c r="K43" i="26" s="1"/>
  <c r="K44" i="26" s="1"/>
  <c r="G38" i="26"/>
  <c r="E37" i="26"/>
  <c r="B37" i="26" s="1"/>
  <c r="F40" i="26"/>
  <c r="C35" i="24"/>
  <c r="B35" i="24" s="1"/>
  <c r="C35" i="23"/>
  <c r="B35" i="23" s="1"/>
  <c r="C35" i="22"/>
  <c r="B35" i="22" s="1"/>
  <c r="C35" i="20"/>
  <c r="B35" i="20" s="1"/>
  <c r="G28" i="16"/>
  <c r="C27" i="16"/>
  <c r="B27" i="16" s="1"/>
  <c r="D34" i="16"/>
  <c r="C12" i="7"/>
  <c r="B12" i="7" s="1"/>
  <c r="D13" i="7"/>
  <c r="E25" i="3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D13" i="3"/>
  <c r="D14" i="3" s="1"/>
  <c r="D15" i="3" s="1"/>
  <c r="D16" i="3" s="1"/>
  <c r="D17" i="3" s="1"/>
  <c r="D18" i="3" s="1"/>
  <c r="D19" i="3" s="1"/>
  <c r="D20" i="3" s="1"/>
  <c r="D21" i="3" s="1"/>
  <c r="H20" i="3"/>
  <c r="H21" i="3" s="1"/>
  <c r="H22" i="3" s="1"/>
  <c r="H23" i="3" s="1"/>
  <c r="I18" i="3"/>
  <c r="I19" i="3" s="1"/>
  <c r="G30" i="3"/>
  <c r="G31" i="3" s="1"/>
  <c r="G32" i="3" s="1"/>
  <c r="C10" i="3"/>
  <c r="C11" i="3" s="1"/>
  <c r="C12" i="3" s="1"/>
  <c r="F10" i="3"/>
  <c r="F11" i="3" s="1"/>
  <c r="F12" i="3" s="1"/>
  <c r="F13" i="3" s="1"/>
  <c r="F14" i="3" s="1"/>
  <c r="F15" i="3" s="1"/>
  <c r="F16" i="3" s="1"/>
  <c r="F17" i="3" s="1"/>
  <c r="B6" i="3"/>
  <c r="B7" i="3"/>
  <c r="C42" i="30" l="1"/>
  <c r="B42" i="30" s="1"/>
  <c r="D43" i="30"/>
  <c r="D41" i="29"/>
  <c r="C40" i="29"/>
  <c r="B40" i="29" s="1"/>
  <c r="G39" i="26"/>
  <c r="E38" i="26"/>
  <c r="B38" i="26" s="1"/>
  <c r="F41" i="26"/>
  <c r="S38" i="26"/>
  <c r="L39" i="26" s="1"/>
  <c r="L40" i="26" s="1"/>
  <c r="L41" i="26" s="1"/>
  <c r="C36" i="24"/>
  <c r="B36" i="24" s="1"/>
  <c r="C36" i="23"/>
  <c r="B36" i="23" s="1"/>
  <c r="C36" i="22"/>
  <c r="B36" i="22" s="1"/>
  <c r="C36" i="20"/>
  <c r="B36" i="20" s="1"/>
  <c r="G29" i="16"/>
  <c r="C28" i="16"/>
  <c r="B28" i="16" s="1"/>
  <c r="D35" i="16"/>
  <c r="D14" i="7"/>
  <c r="C13" i="7"/>
  <c r="B13" i="7" s="1"/>
  <c r="C13" i="3"/>
  <c r="C14" i="3" s="1"/>
  <c r="I20" i="3"/>
  <c r="I21" i="3" s="1"/>
  <c r="I22" i="3" s="1"/>
  <c r="I23" i="3" s="1"/>
  <c r="I24" i="3" s="1"/>
  <c r="I25" i="3" s="1"/>
  <c r="I26" i="3" s="1"/>
  <c r="I27" i="3" s="1"/>
  <c r="I28" i="3" s="1"/>
  <c r="G33" i="3"/>
  <c r="G34" i="3" s="1"/>
  <c r="G35" i="3" s="1"/>
  <c r="H26" i="3"/>
  <c r="H27" i="3" s="1"/>
  <c r="F18" i="3"/>
  <c r="F19" i="3" s="1"/>
  <c r="F20" i="3" s="1"/>
  <c r="F21" i="3" s="1"/>
  <c r="D22" i="3"/>
  <c r="D23" i="3" s="1"/>
  <c r="D24" i="3" s="1"/>
  <c r="D25" i="3" s="1"/>
  <c r="D26" i="3" s="1"/>
  <c r="D27" i="3" s="1"/>
  <c r="D28" i="3" s="1"/>
  <c r="D29" i="3" s="1"/>
  <c r="B10" i="3"/>
  <c r="B12" i="3"/>
  <c r="B9" i="3"/>
  <c r="B11" i="3"/>
  <c r="C43" i="30" l="1"/>
  <c r="B43" i="30" s="1"/>
  <c r="C41" i="29"/>
  <c r="B41" i="29" s="1"/>
  <c r="D42" i="29"/>
  <c r="X38" i="26"/>
  <c r="S41" i="26"/>
  <c r="F42" i="26"/>
  <c r="G40" i="26"/>
  <c r="E39" i="26"/>
  <c r="B39" i="26" s="1"/>
  <c r="C37" i="24"/>
  <c r="B37" i="24" s="1"/>
  <c r="C37" i="23"/>
  <c r="B37" i="23" s="1"/>
  <c r="C37" i="22"/>
  <c r="B37" i="22" s="1"/>
  <c r="C37" i="20"/>
  <c r="B37" i="20" s="1"/>
  <c r="D36" i="16"/>
  <c r="C29" i="16"/>
  <c r="B29" i="16" s="1"/>
  <c r="C14" i="7"/>
  <c r="B14" i="7" s="1"/>
  <c r="D15" i="7"/>
  <c r="B13" i="3"/>
  <c r="C15" i="3"/>
  <c r="B14" i="3"/>
  <c r="G36" i="3"/>
  <c r="G37" i="3" s="1"/>
  <c r="G38" i="3" s="1"/>
  <c r="G39" i="3" s="1"/>
  <c r="G40" i="3" s="1"/>
  <c r="G41" i="3" s="1"/>
  <c r="G42" i="3" s="1"/>
  <c r="G43" i="3" s="1"/>
  <c r="G44" i="3" s="1"/>
  <c r="H28" i="3"/>
  <c r="H29" i="3" s="1"/>
  <c r="H30" i="3" s="1"/>
  <c r="H31" i="3" s="1"/>
  <c r="H32" i="3" s="1"/>
  <c r="H33" i="3" s="1"/>
  <c r="H34" i="3" s="1"/>
  <c r="H35" i="3" s="1"/>
  <c r="F22" i="3"/>
  <c r="F23" i="3" s="1"/>
  <c r="F24" i="3" s="1"/>
  <c r="F25" i="3" s="1"/>
  <c r="F26" i="3" s="1"/>
  <c r="F27" i="3" s="1"/>
  <c r="F28" i="3" s="1"/>
  <c r="F29" i="3" s="1"/>
  <c r="F30" i="3" s="1"/>
  <c r="D30" i="3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I29" i="3"/>
  <c r="V53" i="30" l="1"/>
  <c r="D43" i="29"/>
  <c r="C42" i="29"/>
  <c r="B42" i="29" s="1"/>
  <c r="F43" i="26"/>
  <c r="G41" i="26"/>
  <c r="E40" i="26"/>
  <c r="B40" i="26" s="1"/>
  <c r="Q41" i="26"/>
  <c r="J42" i="26" s="1"/>
  <c r="J43" i="26" s="1"/>
  <c r="J44" i="26" s="1"/>
  <c r="O41" i="26"/>
  <c r="L42" i="26"/>
  <c r="L43" i="26" s="1"/>
  <c r="L44" i="26" s="1"/>
  <c r="C38" i="24"/>
  <c r="B38" i="24" s="1"/>
  <c r="C38" i="23"/>
  <c r="B38" i="23" s="1"/>
  <c r="C38" i="22"/>
  <c r="B38" i="22" s="1"/>
  <c r="C38" i="20"/>
  <c r="B38" i="20" s="1"/>
  <c r="G31" i="16"/>
  <c r="C30" i="16"/>
  <c r="B30" i="16" s="1"/>
  <c r="D37" i="16"/>
  <c r="C15" i="7"/>
  <c r="B15" i="7" s="1"/>
  <c r="D16" i="7"/>
  <c r="C16" i="3"/>
  <c r="B15" i="3"/>
  <c r="F31" i="3"/>
  <c r="H36" i="3"/>
  <c r="H37" i="3" s="1"/>
  <c r="I30" i="3"/>
  <c r="C43" i="29" l="1"/>
  <c r="B43" i="29" s="1"/>
  <c r="D44" i="29"/>
  <c r="C44" i="29" s="1"/>
  <c r="X41" i="26"/>
  <c r="H42" i="26"/>
  <c r="H43" i="26" s="1"/>
  <c r="H44" i="26" s="1"/>
  <c r="G42" i="26"/>
  <c r="E41" i="26"/>
  <c r="B41" i="26" s="1"/>
  <c r="F44" i="26"/>
  <c r="C39" i="24"/>
  <c r="B39" i="24" s="1"/>
  <c r="C39" i="23"/>
  <c r="B39" i="23" s="1"/>
  <c r="C39" i="22"/>
  <c r="B39" i="22" s="1"/>
  <c r="C39" i="20"/>
  <c r="B39" i="20" s="1"/>
  <c r="D38" i="16"/>
  <c r="G32" i="16"/>
  <c r="G33" i="16" s="1"/>
  <c r="C31" i="16"/>
  <c r="B31" i="16" s="1"/>
  <c r="D17" i="7"/>
  <c r="C16" i="7"/>
  <c r="B16" i="7" s="1"/>
  <c r="C17" i="3"/>
  <c r="B16" i="3"/>
  <c r="F32" i="3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I31" i="3"/>
  <c r="V51" i="29" l="1"/>
  <c r="B44" i="29"/>
  <c r="G43" i="26"/>
  <c r="E42" i="26"/>
  <c r="B42" i="26" s="1"/>
  <c r="X46" i="26"/>
  <c r="AH52" i="26"/>
  <c r="C40" i="24"/>
  <c r="B40" i="24" s="1"/>
  <c r="C40" i="23"/>
  <c r="B40" i="23" s="1"/>
  <c r="C40" i="22"/>
  <c r="B40" i="22" s="1"/>
  <c r="C40" i="20"/>
  <c r="B40" i="20" s="1"/>
  <c r="C32" i="16"/>
  <c r="B32" i="16" s="1"/>
  <c r="D39" i="16"/>
  <c r="D18" i="7"/>
  <c r="D19" i="7" s="1"/>
  <c r="D20" i="7" s="1"/>
  <c r="D21" i="7" s="1"/>
  <c r="C17" i="7"/>
  <c r="B17" i="7" s="1"/>
  <c r="C18" i="3"/>
  <c r="B17" i="3"/>
  <c r="I32" i="3"/>
  <c r="G44" i="26" l="1"/>
  <c r="E44" i="26" s="1"/>
  <c r="E43" i="26"/>
  <c r="B43" i="26" s="1"/>
  <c r="C41" i="24"/>
  <c r="B41" i="24" s="1"/>
  <c r="C41" i="23"/>
  <c r="B41" i="23" s="1"/>
  <c r="C41" i="22"/>
  <c r="B41" i="22" s="1"/>
  <c r="C41" i="20"/>
  <c r="B41" i="20" s="1"/>
  <c r="D40" i="16"/>
  <c r="G34" i="16"/>
  <c r="C33" i="16"/>
  <c r="B33" i="16" s="1"/>
  <c r="C18" i="7"/>
  <c r="B18" i="7" s="1"/>
  <c r="C19" i="3"/>
  <c r="B18" i="3"/>
  <c r="I33" i="3"/>
  <c r="B44" i="26" l="1"/>
  <c r="X51" i="26"/>
  <c r="C42" i="24"/>
  <c r="B42" i="24" s="1"/>
  <c r="C42" i="23"/>
  <c r="B42" i="23" s="1"/>
  <c r="C42" i="22"/>
  <c r="B42" i="22" s="1"/>
  <c r="C42" i="20"/>
  <c r="B42" i="20" s="1"/>
  <c r="G35" i="16"/>
  <c r="C34" i="16"/>
  <c r="B34" i="16" s="1"/>
  <c r="D41" i="16"/>
  <c r="C19" i="7"/>
  <c r="B19" i="7" s="1"/>
  <c r="C20" i="3"/>
  <c r="B19" i="3"/>
  <c r="I34" i="3"/>
  <c r="V26" i="13" l="1"/>
  <c r="C43" i="24"/>
  <c r="C43" i="23"/>
  <c r="C43" i="22"/>
  <c r="C43" i="20"/>
  <c r="B43" i="20" s="1"/>
  <c r="D42" i="16"/>
  <c r="G36" i="16"/>
  <c r="C35" i="16"/>
  <c r="B35" i="16" s="1"/>
  <c r="C20" i="7"/>
  <c r="B20" i="7" s="1"/>
  <c r="C21" i="3"/>
  <c r="B20" i="3"/>
  <c r="I35" i="3"/>
  <c r="I36" i="3" s="1"/>
  <c r="B43" i="24" l="1"/>
  <c r="B43" i="23"/>
  <c r="B43" i="22"/>
  <c r="V51" i="24"/>
  <c r="V51" i="23"/>
  <c r="V51" i="22"/>
  <c r="G37" i="16"/>
  <c r="C36" i="16"/>
  <c r="B36" i="16" s="1"/>
  <c r="D43" i="16"/>
  <c r="D22" i="7"/>
  <c r="C21" i="7"/>
  <c r="B21" i="7" s="1"/>
  <c r="C22" i="3"/>
  <c r="B21" i="3"/>
  <c r="D44" i="16" l="1"/>
  <c r="G38" i="16"/>
  <c r="C37" i="16"/>
  <c r="B37" i="16" s="1"/>
  <c r="D23" i="7"/>
  <c r="C22" i="7"/>
  <c r="B22" i="7" s="1"/>
  <c r="C23" i="3"/>
  <c r="B22" i="3"/>
  <c r="I37" i="3"/>
  <c r="I38" i="3" s="1"/>
  <c r="G39" i="16" l="1"/>
  <c r="C38" i="16"/>
  <c r="B38" i="16" s="1"/>
  <c r="D24" i="7"/>
  <c r="C23" i="7"/>
  <c r="B23" i="7" s="1"/>
  <c r="C24" i="3"/>
  <c r="B23" i="3"/>
  <c r="G40" i="16" l="1"/>
  <c r="C39" i="16"/>
  <c r="B39" i="16" s="1"/>
  <c r="D25" i="7"/>
  <c r="C24" i="7"/>
  <c r="B24" i="7" s="1"/>
  <c r="C25" i="3"/>
  <c r="B24" i="3"/>
  <c r="I39" i="3"/>
  <c r="V42" i="17" l="1"/>
  <c r="G41" i="16"/>
  <c r="C40" i="16"/>
  <c r="B40" i="16" s="1"/>
  <c r="D26" i="7"/>
  <c r="C25" i="7"/>
  <c r="B25" i="7" s="1"/>
  <c r="C26" i="3"/>
  <c r="B25" i="3"/>
  <c r="I40" i="3"/>
  <c r="G42" i="16" l="1"/>
  <c r="C41" i="16"/>
  <c r="B41" i="16" s="1"/>
  <c r="C26" i="7"/>
  <c r="B26" i="7" s="1"/>
  <c r="D27" i="7"/>
  <c r="C27" i="3"/>
  <c r="B26" i="3"/>
  <c r="I41" i="3"/>
  <c r="G43" i="16" l="1"/>
  <c r="C42" i="16"/>
  <c r="B42" i="16" s="1"/>
  <c r="C27" i="7"/>
  <c r="B27" i="7" s="1"/>
  <c r="D28" i="7"/>
  <c r="C28" i="3"/>
  <c r="B27" i="3"/>
  <c r="I42" i="3"/>
  <c r="G44" i="16" l="1"/>
  <c r="C44" i="16" s="1"/>
  <c r="C43" i="16"/>
  <c r="B43" i="16" s="1"/>
  <c r="C28" i="7"/>
  <c r="B28" i="7" s="1"/>
  <c r="D29" i="7"/>
  <c r="B28" i="3"/>
  <c r="C29" i="3"/>
  <c r="I43" i="3"/>
  <c r="V50" i="16" l="1"/>
  <c r="B44" i="16"/>
  <c r="D30" i="7"/>
  <c r="C29" i="7"/>
  <c r="B29" i="7" s="1"/>
  <c r="C30" i="3"/>
  <c r="B29" i="3"/>
  <c r="I44" i="3"/>
  <c r="D31" i="7" l="1"/>
  <c r="C30" i="7"/>
  <c r="B30" i="7" s="1"/>
  <c r="C31" i="3"/>
  <c r="B30" i="3"/>
  <c r="X42" i="18" l="1"/>
  <c r="D32" i="7"/>
  <c r="C31" i="7"/>
  <c r="B31" i="7" s="1"/>
  <c r="C32" i="3"/>
  <c r="B31" i="3"/>
  <c r="D33" i="7" l="1"/>
  <c r="C32" i="7"/>
  <c r="B32" i="7" s="1"/>
  <c r="C33" i="3"/>
  <c r="B32" i="3"/>
  <c r="D34" i="7" l="1"/>
  <c r="C33" i="7"/>
  <c r="B33" i="7" s="1"/>
  <c r="C34" i="3"/>
  <c r="B33" i="3"/>
  <c r="C34" i="7" l="1"/>
  <c r="B34" i="7" s="1"/>
  <c r="D35" i="7"/>
  <c r="C35" i="3"/>
  <c r="B34" i="3"/>
  <c r="C35" i="7" l="1"/>
  <c r="B35" i="7" s="1"/>
  <c r="D36" i="7"/>
  <c r="C36" i="3"/>
  <c r="B35" i="3"/>
  <c r="C36" i="7" l="1"/>
  <c r="B36" i="7" s="1"/>
  <c r="D37" i="7"/>
  <c r="C37" i="3"/>
  <c r="B36" i="3"/>
  <c r="D38" i="7" l="1"/>
  <c r="C37" i="7"/>
  <c r="B37" i="7" s="1"/>
  <c r="C38" i="3"/>
  <c r="B37" i="3"/>
  <c r="D39" i="7" l="1"/>
  <c r="C38" i="7"/>
  <c r="B38" i="7" s="1"/>
  <c r="C39" i="3"/>
  <c r="B38" i="3"/>
  <c r="D40" i="7" l="1"/>
  <c r="C39" i="7"/>
  <c r="B39" i="7" s="1"/>
  <c r="C40" i="3"/>
  <c r="B39" i="3"/>
  <c r="D41" i="7" l="1"/>
  <c r="C40" i="7"/>
  <c r="B40" i="7" s="1"/>
  <c r="C41" i="3"/>
  <c r="B40" i="3"/>
  <c r="D42" i="7" l="1"/>
  <c r="C41" i="7"/>
  <c r="B41" i="7" s="1"/>
  <c r="C42" i="3"/>
  <c r="B41" i="3"/>
  <c r="C42" i="7" l="1"/>
  <c r="B42" i="7" s="1"/>
  <c r="D43" i="7"/>
  <c r="C43" i="3"/>
  <c r="B42" i="3"/>
  <c r="C43" i="7" l="1"/>
  <c r="B43" i="7" s="1"/>
  <c r="D44" i="7"/>
  <c r="C44" i="7" s="1"/>
  <c r="C44" i="3"/>
  <c r="B43" i="3"/>
  <c r="V50" i="7" l="1"/>
  <c r="B44" i="7"/>
  <c r="B44" i="3"/>
  <c r="U50" i="3" s="1"/>
  <c r="V20" i="13" l="1"/>
  <c r="V37" i="13" l="1"/>
  <c r="E14" i="13" l="1"/>
  <c r="E15" i="13" s="1"/>
  <c r="E16" i="13" s="1"/>
  <c r="L45" i="13"/>
  <c r="E17" i="13" l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V14" i="13"/>
  <c r="D14" i="13"/>
  <c r="D15" i="13" s="1"/>
  <c r="D16" i="13" l="1"/>
  <c r="D17" i="13" l="1"/>
  <c r="D18" i="13" l="1"/>
  <c r="D19" i="13" l="1"/>
  <c r="D20" i="13" s="1"/>
  <c r="D21" i="13" l="1"/>
  <c r="D22" i="13" l="1"/>
  <c r="D23" i="13" l="1"/>
  <c r="D24" i="13" l="1"/>
  <c r="D25" i="13" l="1"/>
  <c r="D26" i="13" l="1"/>
  <c r="D27" i="13" s="1"/>
  <c r="D28" i="13" l="1"/>
  <c r="D29" i="13" l="1"/>
  <c r="D30" i="13" s="1"/>
  <c r="D31" i="13" l="1"/>
  <c r="N45" i="13" l="1"/>
  <c r="D32" i="13" l="1"/>
  <c r="D33" i="13" s="1"/>
  <c r="K45" i="13"/>
  <c r="V32" i="13"/>
  <c r="G32" i="13"/>
  <c r="G33" i="13" s="1"/>
  <c r="G34" i="13" s="1"/>
  <c r="G35" i="13" l="1"/>
  <c r="G36" i="13" s="1"/>
  <c r="G37" i="13" s="1"/>
  <c r="G38" i="13" s="1"/>
  <c r="G39" i="13" s="1"/>
  <c r="G40" i="13" s="1"/>
  <c r="G41" i="13" s="1"/>
  <c r="G42" i="13" s="1"/>
  <c r="G43" i="13" s="1"/>
  <c r="G44" i="13" s="1"/>
  <c r="D34" i="13"/>
  <c r="D35" i="13" l="1"/>
  <c r="D36" i="13" s="1"/>
  <c r="D38" i="13" l="1"/>
  <c r="D39" i="13" l="1"/>
  <c r="D40" i="13" l="1"/>
  <c r="D41" i="13" l="1"/>
  <c r="D42" i="13" l="1"/>
  <c r="D43" i="13" l="1"/>
  <c r="D44" i="13" l="1"/>
  <c r="Q45" i="13"/>
  <c r="V38" i="13" l="1"/>
  <c r="J12" i="13"/>
  <c r="J13" i="13" s="1"/>
  <c r="J14" i="13" s="1"/>
  <c r="J15" i="13" s="1"/>
  <c r="H12" i="13" l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V12" i="13"/>
  <c r="J16" i="13"/>
  <c r="J17" i="13" s="1"/>
  <c r="J18" i="13" s="1"/>
  <c r="J19" i="13" s="1"/>
  <c r="J20" i="13" s="1"/>
  <c r="J21" i="13" s="1"/>
  <c r="J22" i="13" s="1"/>
  <c r="F12" i="13"/>
  <c r="H32" i="13" l="1"/>
  <c r="H33" i="13" s="1"/>
  <c r="H34" i="13" s="1"/>
  <c r="H35" i="13" s="1"/>
  <c r="H36" i="13" s="1"/>
  <c r="H37" i="13" s="1"/>
  <c r="H38" i="13" s="1"/>
  <c r="H39" i="13" s="1"/>
  <c r="H40" i="13" s="1"/>
  <c r="F13" i="13"/>
  <c r="C12" i="13"/>
  <c r="B12" i="13" s="1"/>
  <c r="C13" i="13" l="1"/>
  <c r="B13" i="13" s="1"/>
  <c r="F14" i="13"/>
  <c r="C14" i="13" l="1"/>
  <c r="B14" i="13" s="1"/>
  <c r="F15" i="13"/>
  <c r="C15" i="13" l="1"/>
  <c r="B15" i="13" s="1"/>
  <c r="F16" i="13"/>
  <c r="F17" i="13" s="1"/>
  <c r="C16" i="13" l="1"/>
  <c r="B16" i="13" s="1"/>
  <c r="F18" i="13" l="1"/>
  <c r="C17" i="13"/>
  <c r="B17" i="13" s="1"/>
  <c r="F19" i="13" l="1"/>
  <c r="C18" i="13"/>
  <c r="B18" i="13" s="1"/>
  <c r="F20" i="13" l="1"/>
  <c r="C19" i="13"/>
  <c r="B19" i="13" s="1"/>
  <c r="C20" i="13" l="1"/>
  <c r="B20" i="13" s="1"/>
  <c r="F21" i="13"/>
  <c r="F22" i="13" l="1"/>
  <c r="C21" i="13"/>
  <c r="B21" i="13" s="1"/>
  <c r="C22" i="13" l="1"/>
  <c r="B22" i="13" s="1"/>
  <c r="F23" i="13"/>
  <c r="F24" i="13" l="1"/>
  <c r="F25" i="13" l="1"/>
  <c r="F26" i="13" l="1"/>
  <c r="F27" i="13" l="1"/>
  <c r="F28" i="13" l="1"/>
  <c r="F29" i="13" l="1"/>
  <c r="F30" i="13" l="1"/>
  <c r="F31" i="13" l="1"/>
  <c r="F32" i="13" l="1"/>
  <c r="F33" i="13" l="1"/>
  <c r="F34" i="13" l="1"/>
  <c r="F35" i="13" l="1"/>
  <c r="F36" i="13" l="1"/>
  <c r="F37" i="13" l="1"/>
  <c r="F38" i="13" l="1"/>
  <c r="F39" i="13" l="1"/>
  <c r="F40" i="13" l="1"/>
  <c r="J23" i="13"/>
  <c r="J24" i="13" l="1"/>
  <c r="J25" i="13" s="1"/>
  <c r="J26" i="13" s="1"/>
  <c r="J27" i="13" s="1"/>
  <c r="J28" i="13" s="1"/>
  <c r="J29" i="13" s="1"/>
  <c r="J30" i="13" s="1"/>
  <c r="J31" i="13" s="1"/>
  <c r="J33" i="13" s="1"/>
  <c r="J34" i="13" s="1"/>
  <c r="J35" i="13" s="1"/>
  <c r="J36" i="13" s="1"/>
  <c r="J37" i="13" s="1"/>
  <c r="J38" i="13" s="1"/>
  <c r="J39" i="13" s="1"/>
  <c r="J40" i="13" s="1"/>
  <c r="V23" i="13"/>
  <c r="P45" i="13"/>
  <c r="I23" i="13"/>
  <c r="I24" i="13" s="1"/>
  <c r="V47" i="13" l="1"/>
  <c r="B5" i="25" s="1"/>
  <c r="C23" i="13"/>
  <c r="B23" i="13" s="1"/>
  <c r="I25" i="13" l="1"/>
  <c r="C24" i="13"/>
  <c r="B24" i="13" s="1"/>
  <c r="I26" i="13" l="1"/>
  <c r="C25" i="13"/>
  <c r="B25" i="13" s="1"/>
  <c r="I27" i="13" l="1"/>
  <c r="C26" i="13"/>
  <c r="B26" i="13" s="1"/>
  <c r="C27" i="13" l="1"/>
  <c r="B27" i="13" s="1"/>
  <c r="I28" i="13"/>
  <c r="C28" i="13" l="1"/>
  <c r="B28" i="13" s="1"/>
  <c r="I29" i="13"/>
  <c r="I30" i="13" l="1"/>
  <c r="C29" i="13"/>
  <c r="B29" i="13" s="1"/>
  <c r="I31" i="13" l="1"/>
  <c r="I32" i="13" s="1"/>
  <c r="C30" i="13"/>
  <c r="B30" i="13" s="1"/>
  <c r="C31" i="13" l="1"/>
  <c r="B31" i="13" s="1"/>
  <c r="I33" i="13" l="1"/>
  <c r="C32" i="13"/>
  <c r="B32" i="13" s="1"/>
  <c r="I34" i="13" l="1"/>
  <c r="C33" i="13"/>
  <c r="B33" i="13" s="1"/>
  <c r="C34" i="13" l="1"/>
  <c r="B34" i="13" s="1"/>
  <c r="I35" i="13"/>
  <c r="C35" i="13" l="1"/>
  <c r="B35" i="13" s="1"/>
  <c r="I36" i="13"/>
  <c r="C36" i="13" l="1"/>
  <c r="B36" i="13" s="1"/>
  <c r="I37" i="13"/>
  <c r="C37" i="13" l="1"/>
  <c r="B37" i="13" s="1"/>
  <c r="I38" i="13"/>
  <c r="I39" i="13" s="1"/>
  <c r="C38" i="13" l="1"/>
  <c r="B38" i="13" s="1"/>
  <c r="I40" i="13" l="1"/>
  <c r="C39" i="13"/>
  <c r="B39" i="13" s="1"/>
  <c r="C40" i="13" l="1"/>
  <c r="B40" i="13" s="1"/>
  <c r="I41" i="13"/>
  <c r="I42" i="13" s="1"/>
  <c r="I43" i="13" s="1"/>
  <c r="I44" i="13" s="1"/>
  <c r="J41" i="13"/>
  <c r="J42" i="13" s="1"/>
  <c r="J43" i="13" s="1"/>
  <c r="J44" i="13" s="1"/>
  <c r="H41" i="13" l="1"/>
  <c r="H42" i="13" s="1"/>
  <c r="H43" i="13" s="1"/>
  <c r="H44" i="13" s="1"/>
  <c r="O45" i="13"/>
  <c r="V41" i="13"/>
  <c r="M45" i="13"/>
  <c r="F41" i="13"/>
  <c r="F42" i="13" s="1"/>
  <c r="V48" i="13" l="1"/>
  <c r="V50" i="13"/>
  <c r="AG54" i="13" s="1"/>
  <c r="C41" i="13"/>
  <c r="B41" i="13" s="1"/>
  <c r="C42" i="13"/>
  <c r="B42" i="13" s="1"/>
  <c r="F43" i="13"/>
  <c r="C5" i="25"/>
  <c r="F44" i="13" l="1"/>
  <c r="C44" i="13" s="1"/>
  <c r="C43" i="13"/>
  <c r="B43" i="13" s="1"/>
  <c r="B44" i="13" l="1"/>
  <c r="V53" i="13"/>
  <c r="N36" i="17"/>
  <c r="W36" i="17" l="1"/>
  <c r="P36" i="17"/>
  <c r="V36" i="17" l="1"/>
  <c r="O14" i="17" l="1"/>
  <c r="V14" i="17" l="1"/>
  <c r="W14" i="17"/>
  <c r="D14" i="17"/>
  <c r="D15" i="17" l="1"/>
  <c r="G15" i="17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l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G38" i="17" s="1"/>
  <c r="G39" i="17" s="1"/>
  <c r="G40" i="17" s="1"/>
  <c r="G41" i="17" s="1"/>
  <c r="G42" i="17" s="1"/>
  <c r="G43" i="17" s="1"/>
  <c r="D16" i="17"/>
  <c r="V15" i="17"/>
  <c r="D17" i="17" l="1"/>
  <c r="D18" i="17" l="1"/>
  <c r="D19" i="17" l="1"/>
  <c r="D20" i="17" l="1"/>
  <c r="D21" i="17" l="1"/>
  <c r="D22" i="17" l="1"/>
  <c r="D23" i="17" l="1"/>
  <c r="D24" i="17" l="1"/>
  <c r="D25" i="17" l="1"/>
  <c r="D26" i="17" s="1"/>
  <c r="D27" i="17" l="1"/>
  <c r="D28" i="17" l="1"/>
  <c r="D29" i="17" l="1"/>
  <c r="D30" i="17" l="1"/>
  <c r="D31" i="17" l="1"/>
  <c r="D32" i="17" l="1"/>
  <c r="D33" i="17" l="1"/>
  <c r="D34" i="17" l="1"/>
  <c r="D35" i="17" l="1"/>
  <c r="D36" i="17" l="1"/>
  <c r="D37" i="17" l="1"/>
  <c r="D38" i="17" l="1"/>
  <c r="D39" i="17" l="1"/>
  <c r="D40" i="17" l="1"/>
  <c r="D41" i="17" l="1"/>
  <c r="D42" i="17" l="1"/>
  <c r="D43" i="17" l="1"/>
  <c r="V30" i="17" l="1"/>
  <c r="Q37" i="17" l="1"/>
  <c r="O12" i="17"/>
  <c r="H12" i="17" s="1"/>
  <c r="H13" i="17" s="1"/>
  <c r="H14" i="17" s="1"/>
  <c r="H15" i="17" s="1"/>
  <c r="H16" i="17" s="1"/>
  <c r="H17" i="17" s="1"/>
  <c r="H18" i="17" s="1"/>
  <c r="H19" i="17" s="1"/>
  <c r="H20" i="17" s="1"/>
  <c r="H21" i="17" s="1"/>
  <c r="H22" i="17" s="1"/>
  <c r="H23" i="17" s="1"/>
  <c r="H24" i="17" s="1"/>
  <c r="H25" i="17" s="1"/>
  <c r="H26" i="17" s="1"/>
  <c r="H27" i="17" s="1"/>
  <c r="H28" i="17" s="1"/>
  <c r="H29" i="17" s="1"/>
  <c r="H30" i="17" s="1"/>
  <c r="H31" i="17" s="1"/>
  <c r="M12" i="17"/>
  <c r="J12" i="17"/>
  <c r="J13" i="17" s="1"/>
  <c r="J14" i="17" s="1"/>
  <c r="V12" i="17" l="1"/>
  <c r="W12" i="17"/>
  <c r="V37" i="17"/>
  <c r="W37" i="17"/>
  <c r="J15" i="17"/>
  <c r="J16" i="17" s="1"/>
  <c r="J17" i="17" s="1"/>
  <c r="J18" i="17" s="1"/>
  <c r="J19" i="17" s="1"/>
  <c r="J20" i="17" s="1"/>
  <c r="J21" i="17" s="1"/>
  <c r="H32" i="17"/>
  <c r="H33" i="17" s="1"/>
  <c r="H34" i="17" s="1"/>
  <c r="H35" i="17" s="1"/>
  <c r="H36" i="17" s="1"/>
  <c r="H37" i="17" s="1"/>
  <c r="H38" i="17" s="1"/>
  <c r="H39" i="17" s="1"/>
  <c r="F12" i="17"/>
  <c r="F13" i="17" l="1"/>
  <c r="C12" i="17"/>
  <c r="B12" i="17" s="1"/>
  <c r="C13" i="17" l="1"/>
  <c r="B13" i="17" s="1"/>
  <c r="F14" i="17"/>
  <c r="F15" i="17" l="1"/>
  <c r="C14" i="17"/>
  <c r="B14" i="17" s="1"/>
  <c r="F16" i="17" l="1"/>
  <c r="F17" i="17" s="1"/>
  <c r="C15" i="17"/>
  <c r="B15" i="17" s="1"/>
  <c r="C16" i="17" l="1"/>
  <c r="B16" i="17" s="1"/>
  <c r="F18" i="17" l="1"/>
  <c r="C17" i="17"/>
  <c r="B17" i="17" s="1"/>
  <c r="C18" i="17" l="1"/>
  <c r="B18" i="17" s="1"/>
  <c r="F19" i="17"/>
  <c r="C19" i="17" l="1"/>
  <c r="B19" i="17" s="1"/>
  <c r="F20" i="17"/>
  <c r="F21" i="17" l="1"/>
  <c r="C20" i="17"/>
  <c r="B20" i="17" s="1"/>
  <c r="C21" i="17" l="1"/>
  <c r="B21" i="17" s="1"/>
  <c r="F22" i="17"/>
  <c r="F23" i="17" l="1"/>
  <c r="F24" i="17" l="1"/>
  <c r="F25" i="17" l="1"/>
  <c r="F26" i="17" l="1"/>
  <c r="F27" i="17" l="1"/>
  <c r="F28" i="17" l="1"/>
  <c r="F29" i="17" l="1"/>
  <c r="F30" i="17" l="1"/>
  <c r="F31" i="17" l="1"/>
  <c r="F32" i="17" l="1"/>
  <c r="F33" i="17" l="1"/>
  <c r="F34" i="17" l="1"/>
  <c r="F35" i="17" l="1"/>
  <c r="F36" i="17" l="1"/>
  <c r="F37" i="17" l="1"/>
  <c r="F38" i="17" l="1"/>
  <c r="F39" i="17" l="1"/>
  <c r="P22" i="17"/>
  <c r="J22" i="17"/>
  <c r="J23" i="17" s="1"/>
  <c r="J24" i="17" s="1"/>
  <c r="J25" i="17" s="1"/>
  <c r="J26" i="17" s="1"/>
  <c r="J27" i="17" s="1"/>
  <c r="J28" i="17" s="1"/>
  <c r="J29" i="17" s="1"/>
  <c r="J30" i="17" s="1"/>
  <c r="J31" i="17" s="1"/>
  <c r="I22" i="17" l="1"/>
  <c r="W22" i="17"/>
  <c r="J32" i="17"/>
  <c r="J33" i="17" s="1"/>
  <c r="J34" i="17" s="1"/>
  <c r="J35" i="17" s="1"/>
  <c r="J36" i="17" s="1"/>
  <c r="J37" i="17" s="1"/>
  <c r="J38" i="17" s="1"/>
  <c r="J39" i="17" s="1"/>
  <c r="C22" i="17"/>
  <c r="B22" i="17" s="1"/>
  <c r="I23" i="17"/>
  <c r="V22" i="17"/>
  <c r="V45" i="17" l="1"/>
  <c r="C23" i="17"/>
  <c r="B23" i="17" s="1"/>
  <c r="I24" i="17"/>
  <c r="C24" i="17" l="1"/>
  <c r="B24" i="17" s="1"/>
  <c r="I25" i="17"/>
  <c r="B6" i="25"/>
  <c r="AG45" i="17"/>
  <c r="C25" i="17" l="1"/>
  <c r="B25" i="17" s="1"/>
  <c r="I26" i="17"/>
  <c r="I27" i="17" l="1"/>
  <c r="C26" i="17"/>
  <c r="B26" i="17" s="1"/>
  <c r="I28" i="17" l="1"/>
  <c r="C27" i="17"/>
  <c r="B27" i="17" s="1"/>
  <c r="C28" i="17" l="1"/>
  <c r="B28" i="17" s="1"/>
  <c r="I29" i="17"/>
  <c r="C29" i="17" l="1"/>
  <c r="B29" i="17" s="1"/>
  <c r="I30" i="17"/>
  <c r="I31" i="17" l="1"/>
  <c r="I32" i="17" s="1"/>
  <c r="C30" i="17"/>
  <c r="B30" i="17" s="1"/>
  <c r="C31" i="17" l="1"/>
  <c r="B31" i="17" s="1"/>
  <c r="I33" i="17" l="1"/>
  <c r="C32" i="17"/>
  <c r="B32" i="17" s="1"/>
  <c r="C33" i="17" l="1"/>
  <c r="B33" i="17" s="1"/>
  <c r="I34" i="17"/>
  <c r="I35" i="17" l="1"/>
  <c r="C34" i="17"/>
  <c r="B34" i="17" s="1"/>
  <c r="I36" i="17" l="1"/>
  <c r="C35" i="17"/>
  <c r="B35" i="17" s="1"/>
  <c r="I37" i="17" l="1"/>
  <c r="C36" i="17"/>
  <c r="B36" i="17" s="1"/>
  <c r="I38" i="17" l="1"/>
  <c r="C37" i="17"/>
  <c r="B37" i="17" s="1"/>
  <c r="I39" i="17" l="1"/>
  <c r="C38" i="17"/>
  <c r="B38" i="17" s="1"/>
  <c r="C39" i="17" l="1"/>
  <c r="B39" i="17" s="1"/>
  <c r="I40" i="17"/>
  <c r="I41" i="17" s="1"/>
  <c r="I42" i="17" s="1"/>
  <c r="I43" i="17" s="1"/>
  <c r="O40" i="17"/>
  <c r="H40" i="17" s="1"/>
  <c r="H41" i="17" s="1"/>
  <c r="H42" i="17" s="1"/>
  <c r="H43" i="17" s="1"/>
  <c r="J40" i="17"/>
  <c r="J41" i="17" s="1"/>
  <c r="J42" i="17" s="1"/>
  <c r="M40" i="17"/>
  <c r="J43" i="17" l="1"/>
  <c r="V40" i="17"/>
  <c r="W40" i="17"/>
  <c r="W44" i="17" s="1"/>
  <c r="H6" i="25" s="1"/>
  <c r="I6" i="25" s="1"/>
  <c r="F40" i="17"/>
  <c r="F41" i="17" s="1"/>
  <c r="C41" i="17"/>
  <c r="B41" i="17" s="1"/>
  <c r="F42" i="17"/>
  <c r="C40" i="17"/>
  <c r="B40" i="17" s="1"/>
  <c r="V46" i="17" l="1"/>
  <c r="AG46" i="17" s="1"/>
  <c r="V48" i="17"/>
  <c r="AH51" i="17" s="1"/>
  <c r="AG51" i="17"/>
  <c r="C6" i="25"/>
  <c r="C42" i="17"/>
  <c r="B42" i="17" s="1"/>
  <c r="F43" i="17"/>
  <c r="C43" i="17" l="1"/>
  <c r="B43" i="17" s="1"/>
  <c r="V51" i="17" l="1"/>
  <c r="O39" i="18"/>
  <c r="Y39" i="18" s="1"/>
  <c r="X39" i="18" l="1"/>
  <c r="P14" i="18" l="1"/>
  <c r="Y14" i="18" s="1"/>
  <c r="X14" i="18"/>
  <c r="D14" i="18" l="1"/>
  <c r="D15" i="18" l="1"/>
  <c r="D16" i="18" l="1"/>
  <c r="D17" i="18" l="1"/>
  <c r="D18" i="18" l="1"/>
  <c r="D19" i="18" l="1"/>
  <c r="D20" i="18" l="1"/>
  <c r="D21" i="18" l="1"/>
  <c r="D22" i="18" l="1"/>
  <c r="D23" i="18" l="1"/>
  <c r="D24" i="18" l="1"/>
  <c r="D25" i="18" l="1"/>
  <c r="D26" i="18" l="1"/>
  <c r="D27" i="18" l="1"/>
  <c r="D28" i="18" l="1"/>
  <c r="D29" i="18" s="1"/>
  <c r="D30" i="18" l="1"/>
  <c r="D31" i="18" l="1"/>
  <c r="D32" i="18" l="1"/>
  <c r="D33" i="18" l="1"/>
  <c r="D34" i="18" l="1"/>
  <c r="D35" i="18" l="1"/>
  <c r="D36" i="18" l="1"/>
  <c r="D37" i="18" l="1"/>
  <c r="D38" i="18" s="1"/>
  <c r="D39" i="18" l="1"/>
  <c r="D40" i="18" l="1"/>
  <c r="D41" i="18" l="1"/>
  <c r="D42" i="18" l="1"/>
  <c r="D43" i="18" l="1"/>
  <c r="X15" i="18" l="1"/>
  <c r="G15" i="18"/>
  <c r="G16" i="18" s="1"/>
  <c r="G17" i="18" l="1"/>
  <c r="G18" i="18" l="1"/>
  <c r="G19" i="18" l="1"/>
  <c r="G20" i="18" l="1"/>
  <c r="G21" i="18" l="1"/>
  <c r="G22" i="18" l="1"/>
  <c r="G23" i="18" l="1"/>
  <c r="G24" i="18" l="1"/>
  <c r="G25" i="18" l="1"/>
  <c r="G26" i="18" l="1"/>
  <c r="G27" i="18" l="1"/>
  <c r="G28" i="18" l="1"/>
  <c r="G29" i="18" s="1"/>
  <c r="G30" i="18" l="1"/>
  <c r="G31" i="18" l="1"/>
  <c r="G32" i="18" l="1"/>
  <c r="G33" i="18" l="1"/>
  <c r="G34" i="18" l="1"/>
  <c r="G35" i="18" l="1"/>
  <c r="G36" i="18" l="1"/>
  <c r="G37" i="18" l="1"/>
  <c r="G38" i="18" l="1"/>
  <c r="G39" i="18" l="1"/>
  <c r="G40" i="18" l="1"/>
  <c r="G41" i="18" l="1"/>
  <c r="G42" i="18" l="1"/>
  <c r="G43" i="18" l="1"/>
  <c r="N40" i="18" l="1"/>
  <c r="P40" i="18"/>
  <c r="Y40" i="18" l="1"/>
  <c r="X40" i="18"/>
  <c r="P12" i="18"/>
  <c r="H12" i="18" s="1"/>
  <c r="H13" i="18" s="1"/>
  <c r="H14" i="18" s="1"/>
  <c r="H15" i="18" s="1"/>
  <c r="H16" i="18" s="1"/>
  <c r="H17" i="18" s="1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H32" i="18" s="1"/>
  <c r="H33" i="18" s="1"/>
  <c r="H34" i="18" s="1"/>
  <c r="N12" i="18"/>
  <c r="F12" i="18"/>
  <c r="F13" i="18" s="1"/>
  <c r="J12" i="18"/>
  <c r="J13" i="18" s="1"/>
  <c r="J14" i="18" s="1"/>
  <c r="J15" i="18" s="1"/>
  <c r="X12" i="18" l="1"/>
  <c r="Y12" i="18"/>
  <c r="Y44" i="18" s="1"/>
  <c r="H7" i="25" s="1"/>
  <c r="I7" i="25" s="1"/>
  <c r="H35" i="18"/>
  <c r="H36" i="18" s="1"/>
  <c r="H37" i="18" s="1"/>
  <c r="H38" i="18" s="1"/>
  <c r="H39" i="18" s="1"/>
  <c r="H40" i="18" s="1"/>
  <c r="H41" i="18" s="1"/>
  <c r="H42" i="18" s="1"/>
  <c r="H43" i="18" s="1"/>
  <c r="J16" i="18"/>
  <c r="F14" i="18"/>
  <c r="C13" i="18"/>
  <c r="B13" i="18" s="1"/>
  <c r="C12" i="18"/>
  <c r="B12" i="18" s="1"/>
  <c r="J17" i="18" l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F15" i="18"/>
  <c r="C14" i="18"/>
  <c r="B14" i="18" s="1"/>
  <c r="J35" i="18" l="1"/>
  <c r="J36" i="18" s="1"/>
  <c r="J37" i="18" s="1"/>
  <c r="J38" i="18" s="1"/>
  <c r="J39" i="18" s="1"/>
  <c r="J40" i="18" s="1"/>
  <c r="J41" i="18" s="1"/>
  <c r="J42" i="18" s="1"/>
  <c r="J43" i="18" s="1"/>
  <c r="F16" i="18"/>
  <c r="F17" i="18" s="1"/>
  <c r="C15" i="18"/>
  <c r="B15" i="18" s="1"/>
  <c r="C16" i="18" l="1"/>
  <c r="B16" i="18" s="1"/>
  <c r="F18" i="18" l="1"/>
  <c r="C17" i="18"/>
  <c r="B17" i="18" s="1"/>
  <c r="C18" i="18" l="1"/>
  <c r="B18" i="18" s="1"/>
  <c r="F19" i="18"/>
  <c r="F20" i="18" l="1"/>
  <c r="C19" i="18"/>
  <c r="B19" i="18" s="1"/>
  <c r="C20" i="18" l="1"/>
  <c r="B20" i="18" s="1"/>
  <c r="F21" i="18"/>
  <c r="F22" i="18" l="1"/>
  <c r="C21" i="18"/>
  <c r="B21" i="18" s="1"/>
  <c r="F23" i="18" l="1"/>
  <c r="C22" i="18"/>
  <c r="B22" i="18" s="1"/>
  <c r="C23" i="18" l="1"/>
  <c r="B23" i="18" s="1"/>
  <c r="F24" i="18"/>
  <c r="F25" i="18" l="1"/>
  <c r="C24" i="18"/>
  <c r="B24" i="18" s="1"/>
  <c r="C25" i="18" l="1"/>
  <c r="B25" i="18" s="1"/>
  <c r="F26" i="18"/>
  <c r="F27" i="18" l="1"/>
  <c r="F28" i="18" l="1"/>
  <c r="F29" i="18" l="1"/>
  <c r="F30" i="18" l="1"/>
  <c r="F31" i="18" l="1"/>
  <c r="F32" i="18" l="1"/>
  <c r="F33" i="18" l="1"/>
  <c r="F34" i="18" l="1"/>
  <c r="F35" i="18" l="1"/>
  <c r="F36" i="18" l="1"/>
  <c r="F37" i="18" l="1"/>
  <c r="F38" i="18" l="1"/>
  <c r="F39" i="18" l="1"/>
  <c r="F40" i="18" l="1"/>
  <c r="F41" i="18" l="1"/>
  <c r="F42" i="18" l="1"/>
  <c r="F43" i="18" l="1"/>
  <c r="K29" i="18" l="1"/>
  <c r="K30" i="18" s="1"/>
  <c r="K31" i="18" s="1"/>
  <c r="K32" i="18" s="1"/>
  <c r="K33" i="18" s="1"/>
  <c r="K34" i="18" s="1"/>
  <c r="K35" i="18" s="1"/>
  <c r="K36" i="18" s="1"/>
  <c r="K37" i="18" s="1"/>
  <c r="K38" i="18" s="1"/>
  <c r="K39" i="18" s="1"/>
  <c r="K40" i="18" s="1"/>
  <c r="K41" i="18" s="1"/>
  <c r="K42" i="18" s="1"/>
  <c r="K43" i="18" s="1"/>
  <c r="X29" i="18" l="1"/>
  <c r="X26" i="18"/>
  <c r="X48" i="18" s="1"/>
  <c r="AJ52" i="18" s="1"/>
  <c r="I26" i="18"/>
  <c r="C26" i="18" s="1"/>
  <c r="B26" i="18" s="1"/>
  <c r="I27" i="18" l="1"/>
  <c r="X45" i="18"/>
  <c r="X46" i="18"/>
  <c r="C7" i="25" l="1"/>
  <c r="AI46" i="18"/>
  <c r="AI51" i="18"/>
  <c r="AI45" i="18"/>
  <c r="B7" i="25"/>
  <c r="C27" i="18"/>
  <c r="B27" i="18" s="1"/>
  <c r="I28" i="18"/>
  <c r="I29" i="18" l="1"/>
  <c r="C28" i="18"/>
  <c r="B28" i="18" s="1"/>
  <c r="C29" i="18" l="1"/>
  <c r="B29" i="18" s="1"/>
  <c r="I30" i="18"/>
  <c r="I31" i="18" l="1"/>
  <c r="C30" i="18"/>
  <c r="B30" i="18" s="1"/>
  <c r="C31" i="18" l="1"/>
  <c r="B31" i="18" s="1"/>
  <c r="I32" i="18"/>
  <c r="C32" i="18" l="1"/>
  <c r="B32" i="18" s="1"/>
  <c r="I33" i="18"/>
  <c r="I34" i="18" l="1"/>
  <c r="C33" i="18"/>
  <c r="B33" i="18" s="1"/>
  <c r="C34" i="18" l="1"/>
  <c r="B34" i="18" s="1"/>
  <c r="I35" i="18"/>
  <c r="I36" i="18" l="1"/>
  <c r="C35" i="18"/>
  <c r="B35" i="18" s="1"/>
  <c r="I37" i="18" l="1"/>
  <c r="C36" i="18"/>
  <c r="B36" i="18" s="1"/>
  <c r="C37" i="18" l="1"/>
  <c r="B37" i="18" s="1"/>
  <c r="I38" i="18"/>
  <c r="I39" i="18" l="1"/>
  <c r="C38" i="18"/>
  <c r="B38" i="18" s="1"/>
  <c r="I40" i="18" l="1"/>
  <c r="C39" i="18"/>
  <c r="B39" i="18" s="1"/>
  <c r="C40" i="18" l="1"/>
  <c r="B40" i="18" s="1"/>
  <c r="I41" i="18"/>
  <c r="I42" i="18" l="1"/>
  <c r="C41" i="18"/>
  <c r="B41" i="18" s="1"/>
  <c r="I43" i="18" l="1"/>
  <c r="C42" i="18"/>
  <c r="B42" i="18" s="1"/>
  <c r="C43" i="18" l="1"/>
  <c r="B43" i="18" s="1"/>
  <c r="X51" i="18" l="1"/>
  <c r="E19" i="27"/>
  <c r="E20" i="27" s="1"/>
  <c r="D19" i="27"/>
  <c r="C19" i="27" s="1"/>
  <c r="B19" i="27" s="1"/>
  <c r="D20" i="27" l="1"/>
  <c r="D21" i="27" s="1"/>
  <c r="D22" i="27" s="1"/>
  <c r="E21" i="27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V19" i="27"/>
  <c r="V46" i="27" s="1"/>
  <c r="C21" i="27" l="1"/>
  <c r="B21" i="27" s="1"/>
  <c r="C20" i="27"/>
  <c r="B20" i="27" s="1"/>
  <c r="V45" i="27"/>
  <c r="V48" i="27"/>
  <c r="AG52" i="27" s="1"/>
  <c r="D23" i="27"/>
  <c r="C22" i="27"/>
  <c r="B22" i="27" s="1"/>
  <c r="D24" i="27" l="1"/>
  <c r="C23" i="27"/>
  <c r="B23" i="27" s="1"/>
  <c r="C24" i="27" l="1"/>
  <c r="B24" i="27" s="1"/>
  <c r="D25" i="27"/>
  <c r="D26" i="27" l="1"/>
  <c r="C25" i="27"/>
  <c r="B25" i="27" s="1"/>
  <c r="C26" i="27" l="1"/>
  <c r="B26" i="27" s="1"/>
  <c r="D27" i="27"/>
  <c r="C27" i="27" l="1"/>
  <c r="B27" i="27" s="1"/>
  <c r="D28" i="27"/>
  <c r="D29" i="27" l="1"/>
  <c r="C28" i="27"/>
  <c r="B28" i="27" s="1"/>
  <c r="C29" i="27" l="1"/>
  <c r="B29" i="27" s="1"/>
  <c r="D30" i="27"/>
  <c r="D31" i="27" l="1"/>
  <c r="C30" i="27"/>
  <c r="B30" i="27" s="1"/>
  <c r="D32" i="27" l="1"/>
  <c r="C31" i="27"/>
  <c r="B31" i="27" s="1"/>
  <c r="D33" i="27" l="1"/>
  <c r="C32" i="27"/>
  <c r="B32" i="27" s="1"/>
  <c r="C33" i="27" l="1"/>
  <c r="B33" i="27" s="1"/>
  <c r="D34" i="27"/>
  <c r="D35" i="27" l="1"/>
  <c r="C34" i="27"/>
  <c r="B34" i="27" s="1"/>
  <c r="C35" i="27" l="1"/>
  <c r="B35" i="27" s="1"/>
  <c r="D36" i="27"/>
  <c r="D37" i="27" l="1"/>
  <c r="C36" i="27"/>
  <c r="B36" i="27" s="1"/>
  <c r="C37" i="27" l="1"/>
  <c r="B37" i="27" s="1"/>
  <c r="D38" i="27"/>
  <c r="D39" i="27" l="1"/>
  <c r="C38" i="27"/>
  <c r="B38" i="27" s="1"/>
  <c r="D40" i="27" l="1"/>
  <c r="C39" i="27"/>
  <c r="B39" i="27" s="1"/>
  <c r="D41" i="27" l="1"/>
  <c r="C40" i="27"/>
  <c r="B40" i="27" s="1"/>
  <c r="D42" i="27" l="1"/>
  <c r="C41" i="27"/>
  <c r="B41" i="27" s="1"/>
  <c r="D43" i="27" l="1"/>
  <c r="C42" i="27"/>
  <c r="B42" i="27" s="1"/>
  <c r="C43" i="27" l="1"/>
  <c r="B43" i="27" s="1"/>
  <c r="D44" i="27"/>
  <c r="C44" i="27" s="1"/>
  <c r="B44" i="27" l="1"/>
  <c r="V51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Abu Huzaifah B Bidin (OEX/MRCSB)</author>
  </authors>
  <commentList>
    <comment ref="AH14" authorId="0" shapeId="0" xr:uid="{3376982B-1DF8-45A9-96B1-C93AA76F4A44}">
      <text>
        <r>
          <rPr>
            <b/>
            <sz val="9"/>
            <color indexed="81"/>
            <rFont val="Tahoma"/>
            <family val="2"/>
          </rPr>
          <t>Abu Huzaifah B Bidin (OEX/MRCSB):</t>
        </r>
        <r>
          <rPr>
            <sz val="9"/>
            <color indexed="81"/>
            <rFont val="Tahoma"/>
            <family val="2"/>
          </rPr>
          <t xml:space="preserve">
Missed the LDR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Abu Huzaifah B Bidin (OEX/MRCSB)</author>
  </authors>
  <commentList>
    <comment ref="AH14" authorId="0" shapeId="0" xr:uid="{8532F919-ACD4-4BB8-9197-3E3C8521E9ED}">
      <text>
        <r>
          <rPr>
            <b/>
            <sz val="9"/>
            <color indexed="81"/>
            <rFont val="Tahoma"/>
            <family val="2"/>
          </rPr>
          <t>Abu Huzaifah B Bidin (OEX/MRCSB):</t>
        </r>
        <r>
          <rPr>
            <sz val="9"/>
            <color indexed="81"/>
            <rFont val="Tahoma"/>
            <family val="2"/>
          </rPr>
          <t xml:space="preserve">
Missed the LDR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Abu Huzaifah B Bidin (OEX/MRCSB)</author>
  </authors>
  <commentList>
    <comment ref="AH14" authorId="0" shapeId="0" xr:uid="{9AA9A4AB-E708-4E56-AB32-8754BF008A66}">
      <text>
        <r>
          <rPr>
            <b/>
            <sz val="9"/>
            <color indexed="81"/>
            <rFont val="Tahoma"/>
            <family val="2"/>
          </rPr>
          <t>Abu Huzaifah B Bidin (OEX/MRCSB):</t>
        </r>
        <r>
          <rPr>
            <sz val="9"/>
            <color indexed="81"/>
            <rFont val="Tahoma"/>
            <family val="2"/>
          </rPr>
          <t xml:space="preserve">
Missed the LDR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Abu Huzaifah B Bidin (OEX/MRCSB)</author>
  </authors>
  <commentList>
    <comment ref="AG15" authorId="0" shapeId="0" xr:uid="{43AC4FC4-4EFA-454A-BCF3-AAB305CF0050}">
      <text>
        <r>
          <rPr>
            <b/>
            <sz val="9"/>
            <color indexed="81"/>
            <rFont val="Tahoma"/>
            <family val="2"/>
          </rPr>
          <t>Abu Huzaifah B Bidin (OEX/MRCSB):</t>
        </r>
        <r>
          <rPr>
            <sz val="9"/>
            <color indexed="81"/>
            <rFont val="Tahoma"/>
            <family val="2"/>
          </rPr>
          <t xml:space="preserve">
Missed the LDR</t>
        </r>
      </text>
    </comment>
  </commentList>
</comments>
</file>

<file path=xl/sharedStrings.xml><?xml version="1.0" encoding="utf-8"?>
<sst xmlns="http://schemas.openxmlformats.org/spreadsheetml/2006/main" count="2951" uniqueCount="217">
  <si>
    <t>Demurrage days</t>
  </si>
  <si>
    <t>Base case</t>
  </si>
  <si>
    <t>Scenario 2</t>
  </si>
  <si>
    <t>Scenario 3</t>
  </si>
  <si>
    <t>Scenario 4</t>
  </si>
  <si>
    <t>Sencario 5a</t>
  </si>
  <si>
    <t>Sencario 5b</t>
  </si>
  <si>
    <t>Sencario 5c</t>
  </si>
  <si>
    <t>All in KB</t>
  </si>
  <si>
    <t>Tapis</t>
  </si>
  <si>
    <t>Dulang</t>
  </si>
  <si>
    <t>Jitang</t>
  </si>
  <si>
    <t>Sepat</t>
  </si>
  <si>
    <t>KIMC</t>
  </si>
  <si>
    <t>Kimanis</t>
  </si>
  <si>
    <t>Bintulu</t>
  </si>
  <si>
    <t>Day</t>
  </si>
  <si>
    <t>Ullage</t>
  </si>
  <si>
    <t>Processing Inventory</t>
  </si>
  <si>
    <t>Inventory_Base</t>
  </si>
  <si>
    <t>Inventory_A</t>
  </si>
  <si>
    <t>Inventory_B</t>
  </si>
  <si>
    <t>Inventory_C</t>
  </si>
  <si>
    <t>Inventory_D</t>
  </si>
  <si>
    <t>Inventory_E</t>
  </si>
  <si>
    <t>Inventory_F</t>
  </si>
  <si>
    <t>Rate_Base</t>
  </si>
  <si>
    <t>Rate_A</t>
  </si>
  <si>
    <t>Rate_B</t>
  </si>
  <si>
    <t>Rate_C</t>
  </si>
  <si>
    <t>Rate_D</t>
  </si>
  <si>
    <t>Rate_E</t>
  </si>
  <si>
    <t>Rate_F</t>
  </si>
  <si>
    <t>primary_grade</t>
  </si>
  <si>
    <t>secondary_grade</t>
  </si>
  <si>
    <t>primary_rate</t>
  </si>
  <si>
    <t>secondary_rate</t>
  </si>
  <si>
    <t>total_rate</t>
  </si>
  <si>
    <t>ratio</t>
  </si>
  <si>
    <t>capacity_used</t>
  </si>
  <si>
    <t>capacity_limit</t>
  </si>
  <si>
    <t>Tank 1</t>
  </si>
  <si>
    <t>Tank 2</t>
  </si>
  <si>
    <t>Tank 3</t>
  </si>
  <si>
    <t>Tank 4</t>
  </si>
  <si>
    <t>Tank 5</t>
  </si>
  <si>
    <t>Delivery 1</t>
  </si>
  <si>
    <t>Delivery 2</t>
  </si>
  <si>
    <t>Delivery 3</t>
  </si>
  <si>
    <t>Delivery 4</t>
  </si>
  <si>
    <t>Delivery 5</t>
  </si>
  <si>
    <t>Delivery 6</t>
  </si>
  <si>
    <t>Comment</t>
  </si>
  <si>
    <t>C</t>
  </si>
  <si>
    <t>D</t>
  </si>
  <si>
    <t>0.60:0.40</t>
  </si>
  <si>
    <t>Load Base (1-3)</t>
  </si>
  <si>
    <t>Load A (1-3)</t>
  </si>
  <si>
    <t>Sail</t>
  </si>
  <si>
    <t>B</t>
  </si>
  <si>
    <t>Base</t>
  </si>
  <si>
    <t>0.27:0.73</t>
  </si>
  <si>
    <t>A</t>
  </si>
  <si>
    <t>Discharge</t>
  </si>
  <si>
    <t>Load E (5-7)</t>
  </si>
  <si>
    <t>Sail to Sarawak</t>
  </si>
  <si>
    <t>Tk prep</t>
  </si>
  <si>
    <t>Load F (5-7)</t>
  </si>
  <si>
    <t>Base: 400, A :150</t>
  </si>
  <si>
    <t>Load B (8-10)</t>
  </si>
  <si>
    <t>Load E (10-11)</t>
  </si>
  <si>
    <t>Tank Prep</t>
  </si>
  <si>
    <t>1.00:0.00</t>
  </si>
  <si>
    <t>Demurrage</t>
  </si>
  <si>
    <t xml:space="preserve"> E: 250, F: 320</t>
  </si>
  <si>
    <t>E</t>
  </si>
  <si>
    <t>B: 150</t>
  </si>
  <si>
    <t>Load Base (17-19)</t>
  </si>
  <si>
    <t>Load C (17-19)</t>
  </si>
  <si>
    <t>Load F (19-22)</t>
  </si>
  <si>
    <t>E: 550</t>
  </si>
  <si>
    <t>Sail to Sabah</t>
  </si>
  <si>
    <t>Load E (23-24)</t>
  </si>
  <si>
    <t>Load D (23-24)</t>
  </si>
  <si>
    <t>Base: 360, C: 200</t>
  </si>
  <si>
    <t>F: 280, E: 100, D: 150</t>
  </si>
  <si>
    <t>Overall 30 days average</t>
  </si>
  <si>
    <t>KBD</t>
  </si>
  <si>
    <t>Overall 40 days average</t>
  </si>
  <si>
    <t>Total processing</t>
  </si>
  <si>
    <t>KB</t>
  </si>
  <si>
    <t>Opening</t>
  </si>
  <si>
    <t>Delivery</t>
  </si>
  <si>
    <t>Closing</t>
  </si>
  <si>
    <t xml:space="preserve">Demurrage </t>
  </si>
  <si>
    <t>Days</t>
  </si>
  <si>
    <t>Demurrage (day)</t>
  </si>
  <si>
    <t>Crude Discharge</t>
  </si>
  <si>
    <t>400Base+150A</t>
  </si>
  <si>
    <t>Sail to PM</t>
  </si>
  <si>
    <t>Sail to Melaka</t>
  </si>
  <si>
    <t>Wait</t>
  </si>
  <si>
    <t>250E + 320F</t>
  </si>
  <si>
    <t>150B</t>
  </si>
  <si>
    <t>550E</t>
  </si>
  <si>
    <t>F: 320</t>
  </si>
  <si>
    <t xml:space="preserve"> E: 250, B: 150</t>
  </si>
  <si>
    <t>360Base+200C</t>
  </si>
  <si>
    <t>280F+100E+150D</t>
  </si>
  <si>
    <t>Opening Inventory</t>
  </si>
  <si>
    <t>Base: 400</t>
  </si>
  <si>
    <t xml:space="preserve"> E: 250, F: 320,</t>
  </si>
  <si>
    <t>Delta from Base Case</t>
  </si>
  <si>
    <t>Overall 39 days average</t>
  </si>
  <si>
    <t>Check</t>
  </si>
  <si>
    <t>Remarks</t>
  </si>
  <si>
    <t>Compared to Base Case:</t>
  </si>
  <si>
    <t>Rate reduction by 1KBD</t>
  </si>
  <si>
    <t>Finish 1 day earlier on Day 39, no more feasible pairing</t>
  </si>
  <si>
    <t>Demurrage reduces from 3 to 1 days</t>
  </si>
  <si>
    <t>Kidurong</t>
  </si>
  <si>
    <t>Inventory G</t>
  </si>
  <si>
    <t>Rate_G</t>
  </si>
  <si>
    <t>Load F (320)</t>
  </si>
  <si>
    <t>Load G (5-7)</t>
  </si>
  <si>
    <t>B: 150,G: 250</t>
  </si>
  <si>
    <t>Tank Prep, F: 280, E: 100, D: 150</t>
  </si>
  <si>
    <t>Delta from Scenario 2</t>
  </si>
  <si>
    <t>Compared to Scenario 2:</t>
  </si>
  <si>
    <t>No significant rate improvement</t>
  </si>
  <si>
    <t>Able to sustain beyond 39 days</t>
  </si>
  <si>
    <t>Demurrage increase from 3 to 13 days</t>
  </si>
  <si>
    <t>Load Base</t>
  </si>
  <si>
    <t>Load A</t>
  </si>
  <si>
    <t>Load E</t>
  </si>
  <si>
    <t>Base: 360, F: 280</t>
  </si>
  <si>
    <t xml:space="preserve"> C: 200, E: 100, D: 150</t>
  </si>
  <si>
    <t>Load Base (6-8)</t>
  </si>
  <si>
    <t>A: 150, F: 320</t>
  </si>
  <si>
    <t>E: 250</t>
  </si>
  <si>
    <t>B: 150, Base : 400</t>
  </si>
  <si>
    <t>Base: 400, A: 150</t>
  </si>
  <si>
    <t>Idle</t>
  </si>
  <si>
    <t>Load Base (13-15)</t>
  </si>
  <si>
    <t>B: 150, Base, 360</t>
  </si>
  <si>
    <t>C: 200</t>
  </si>
  <si>
    <t>Tank Prep, B: 150, E: 550</t>
  </si>
  <si>
    <t>Base (1 Penalty)</t>
  </si>
  <si>
    <t>Case 1: Inv negative (late by 2 days)</t>
  </si>
  <si>
    <t>Case 2: Inv negative (late by 1 days)</t>
  </si>
  <si>
    <t>PM</t>
  </si>
  <si>
    <t>1-3</t>
  </si>
  <si>
    <t>Sabah</t>
  </si>
  <si>
    <t>5-7</t>
  </si>
  <si>
    <t>Sarawak</t>
  </si>
  <si>
    <t>F</t>
  </si>
  <si>
    <t>8-10</t>
  </si>
  <si>
    <t>10-11</t>
  </si>
  <si>
    <t>17-19</t>
  </si>
  <si>
    <t>19-22</t>
  </si>
  <si>
    <t>23-24</t>
  </si>
  <si>
    <t>E:550KB</t>
  </si>
  <si>
    <t>B:150, C:200, F:280</t>
  </si>
  <si>
    <t>Inventory</t>
  </si>
  <si>
    <t>Proposed plan</t>
  </si>
  <si>
    <t>Use Base 87 kb</t>
  </si>
  <si>
    <t>Base : 400 / A : 150</t>
  </si>
  <si>
    <t>F: 320 / E : 250</t>
  </si>
  <si>
    <t>Use E</t>
  </si>
  <si>
    <t>B: 150 / E : 550</t>
  </si>
  <si>
    <t>Base: 360 / F : 280</t>
  </si>
  <si>
    <t>D: 150 / E : 100</t>
  </si>
  <si>
    <t>Load F</t>
  </si>
  <si>
    <t>Load B</t>
  </si>
  <si>
    <t>Sail to sarawak</t>
  </si>
  <si>
    <t>Tank Prep, E: 250, F: 320</t>
  </si>
  <si>
    <t>Load D</t>
  </si>
  <si>
    <t>Tank Pre, F: 280, E: 100, D: 150</t>
  </si>
  <si>
    <t>Assumptions used:</t>
  </si>
  <si>
    <t>1. Assume 1 day loading, regardless of parcel size</t>
  </si>
  <si>
    <t>2. Assume all spot vessel - no requirement to use the same vessel for subsequent voyage / consider sailing time from MRC to next loadport</t>
  </si>
  <si>
    <t>3. Max parcel for co-loading 2 grades: 700KB, 3 grades: 650KB</t>
  </si>
  <si>
    <t>4. Sailing time assumption - refer to table</t>
  </si>
  <si>
    <t>5. Do not assume ROB</t>
  </si>
  <si>
    <t>No. of Cargo Delivery</t>
  </si>
  <si>
    <t>Total Crude Margin</t>
  </si>
  <si>
    <t>Summary for 40 days</t>
  </si>
  <si>
    <t>CDU-1 Rate 40 days</t>
  </si>
  <si>
    <t>CDU-1 Rate 30 days</t>
  </si>
  <si>
    <t>Net Profit Margin</t>
  </si>
  <si>
    <t xml:space="preserve">Reference: </t>
  </si>
  <si>
    <t>Margin (USD/bbl)</t>
  </si>
  <si>
    <t>Crude Grade</t>
  </si>
  <si>
    <t>Oct</t>
  </si>
  <si>
    <t>KimC (condy)</t>
  </si>
  <si>
    <t>Kimanis (crude)</t>
  </si>
  <si>
    <t>Cendor</t>
  </si>
  <si>
    <t>G</t>
  </si>
  <si>
    <t>H</t>
  </si>
  <si>
    <t>*no additional freight cost up to 5 delivery per month. Freight cost: USD 600k/ delivery if more than 5 cargo delivery)</t>
  </si>
  <si>
    <t>Additional Freight Cost*</t>
  </si>
  <si>
    <t>USD 40k/ day</t>
  </si>
  <si>
    <t xml:space="preserve">**Demurrage cost : </t>
  </si>
  <si>
    <t>Demurrage Cost**</t>
  </si>
  <si>
    <t>(kbd)</t>
  </si>
  <si>
    <t>#</t>
  </si>
  <si>
    <t>(USD k)</t>
  </si>
  <si>
    <t>(day)</t>
  </si>
  <si>
    <t>Total (40d):</t>
  </si>
  <si>
    <t>Crude Margin
(USD k)</t>
  </si>
  <si>
    <t>Template</t>
  </si>
  <si>
    <t>Scenario</t>
  </si>
  <si>
    <t>= Auto-calculate formula</t>
  </si>
  <si>
    <t>= User input</t>
  </si>
  <si>
    <t>PoC OASIS</t>
  </si>
  <si>
    <t>For M-2, Oct 2025</t>
  </si>
  <si>
    <t>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</si>
</sst>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"/>
    <numFmt numFmtId="165" formatCode="_-* #,##0.0_-;\-* #,##0.0_-;_-* &quot;-&quot;_-;_-@_-"/>
    <numFmt numFmtId="166" formatCode="_-* #,##0.00_-;\-* #,##0.00_-;_-* &quot;-&quot;_-;_-@_-"/>
    <numFmt numFmtId="167" formatCode="_-* #,##0.000_-;\-* #,##0.00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FFFF"/>
      <name val="Museo Sans 700"/>
      <family val="3"/>
    </font>
    <font>
      <sz val="11"/>
      <color rgb="FF000000"/>
      <name val="Museo Sans 300"/>
      <family val="3"/>
    </font>
  </fonts>
  <fills count="2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1A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0" fillId="3" borderId="0" xfId="0" applyFill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3" borderId="0" xfId="0" applyFont="1" applyFill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1" fontId="0" fillId="0" borderId="0" xfId="0" applyNumberFormat="1"/>
    <xf numFmtId="1" fontId="0" fillId="3" borderId="0" xfId="0" applyNumberFormat="1" applyFill="1"/>
    <xf numFmtId="0" fontId="1" fillId="0" borderId="0" xfId="0" quotePrefix="1" applyFont="1" applyAlignment="1">
      <alignment horizontal="center" vertical="top"/>
    </xf>
    <xf numFmtId="0" fontId="1" fillId="8" borderId="0" xfId="0" applyFont="1" applyFill="1" applyAlignment="1">
      <alignment horizontal="center" vertical="top"/>
    </xf>
    <xf numFmtId="0" fontId="1" fillId="9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1" fillId="10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1" fontId="1" fillId="0" borderId="0" xfId="0" applyNumberFormat="1" applyFont="1" applyAlignment="1">
      <alignment horizontal="center" vertical="top"/>
    </xf>
    <xf numFmtId="1" fontId="1" fillId="3" borderId="0" xfId="0" applyNumberFormat="1" applyFont="1" applyFill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4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1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1" fontId="0" fillId="0" borderId="0" xfId="0" quotePrefix="1" applyNumberFormat="1" applyAlignment="1">
      <alignment horizontal="center"/>
    </xf>
    <xf numFmtId="1" fontId="0" fillId="3" borderId="0" xfId="0" quotePrefix="1" applyNumberFormat="1" applyFill="1" applyAlignment="1">
      <alignment horizontal="center"/>
    </xf>
    <xf numFmtId="1" fontId="4" fillId="0" borderId="0" xfId="0" applyNumberFormat="1" applyFont="1"/>
    <xf numFmtId="0" fontId="1" fillId="3" borderId="0" xfId="0" applyFont="1" applyFill="1" applyAlignment="1">
      <alignment horizontal="left" vertical="top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 vertical="top"/>
    </xf>
    <xf numFmtId="0" fontId="0" fillId="0" borderId="0" xfId="0" applyAlignment="1">
      <alignment wrapText="1"/>
    </xf>
    <xf numFmtId="1" fontId="4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1" fontId="5" fillId="0" borderId="0" xfId="0" applyNumberFormat="1" applyFont="1" applyAlignment="1">
      <alignment vertical="top"/>
    </xf>
    <xf numFmtId="41" fontId="0" fillId="0" borderId="0" xfId="0" applyNumberFormat="1"/>
    <xf numFmtId="41" fontId="0" fillId="5" borderId="0" xfId="0" applyNumberFormat="1" applyFill="1"/>
    <xf numFmtId="41" fontId="0" fillId="3" borderId="0" xfId="0" applyNumberFormat="1" applyFill="1"/>
    <xf numFmtId="41" fontId="0" fillId="7" borderId="0" xfId="0" applyNumberFormat="1" applyFill="1"/>
    <xf numFmtId="41" fontId="4" fillId="0" borderId="0" xfId="0" applyNumberFormat="1" applyFont="1"/>
    <xf numFmtId="41" fontId="1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right"/>
    </xf>
    <xf numFmtId="1" fontId="0" fillId="4" borderId="0" xfId="0" applyNumberFormat="1" applyFill="1"/>
    <xf numFmtId="0" fontId="1" fillId="0" borderId="0" xfId="0" applyFont="1" applyAlignment="1">
      <alignment horizontal="left" vertical="top"/>
    </xf>
    <xf numFmtId="41" fontId="0" fillId="9" borderId="0" xfId="0" applyNumberFormat="1" applyFill="1"/>
    <xf numFmtId="41" fontId="0" fillId="4" borderId="0" xfId="0" applyNumberFormat="1" applyFill="1"/>
    <xf numFmtId="41" fontId="5" fillId="0" borderId="0" xfId="0" applyNumberFormat="1" applyFont="1" applyAlignment="1">
      <alignment horizontal="right" vertical="top"/>
    </xf>
    <xf numFmtId="0" fontId="6" fillId="0" borderId="0" xfId="0" applyFont="1"/>
    <xf numFmtId="41" fontId="5" fillId="0" borderId="0" xfId="0" applyNumberFormat="1" applyFont="1" applyAlignment="1">
      <alignment horizontal="center" vertical="top"/>
    </xf>
    <xf numFmtId="1" fontId="0" fillId="9" borderId="0" xfId="0" applyNumberFormat="1" applyFill="1"/>
    <xf numFmtId="0" fontId="1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1" fontId="6" fillId="0" borderId="0" xfId="0" applyNumberFormat="1" applyFont="1"/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/>
    </xf>
    <xf numFmtId="0" fontId="9" fillId="0" borderId="0" xfId="0" applyFont="1" applyAlignment="1">
      <alignment horizontal="right" vertical="top"/>
    </xf>
    <xf numFmtId="41" fontId="9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41" fontId="10" fillId="0" borderId="0" xfId="0" applyNumberFormat="1" applyFont="1"/>
    <xf numFmtId="165" fontId="10" fillId="0" borderId="0" xfId="0" applyNumberFormat="1" applyFont="1"/>
    <xf numFmtId="166" fontId="0" fillId="0" borderId="0" xfId="0" applyNumberFormat="1"/>
    <xf numFmtId="0" fontId="5" fillId="3" borderId="0" xfId="0" applyFont="1" applyFill="1" applyAlignment="1">
      <alignment horizontal="right" vertical="top"/>
    </xf>
    <xf numFmtId="41" fontId="4" fillId="3" borderId="0" xfId="0" applyNumberFormat="1" applyFont="1" applyFill="1"/>
    <xf numFmtId="41" fontId="5" fillId="3" borderId="0" xfId="0" applyNumberFormat="1" applyFont="1" applyFill="1" applyAlignment="1">
      <alignment vertical="top"/>
    </xf>
    <xf numFmtId="0" fontId="4" fillId="12" borderId="0" xfId="0" applyFont="1" applyFill="1" applyAlignment="1">
      <alignment horizontal="left"/>
    </xf>
    <xf numFmtId="0" fontId="1" fillId="12" borderId="0" xfId="0" applyFont="1" applyFill="1" applyAlignment="1">
      <alignment horizontal="left" vertical="top"/>
    </xf>
    <xf numFmtId="0" fontId="4" fillId="12" borderId="0" xfId="0" applyFont="1" applyFill="1"/>
    <xf numFmtId="0" fontId="0" fillId="12" borderId="0" xfId="0" applyFill="1"/>
    <xf numFmtId="0" fontId="0" fillId="13" borderId="3" xfId="0" applyFill="1" applyBorder="1" applyAlignment="1">
      <alignment vertical="top"/>
    </xf>
    <xf numFmtId="0" fontId="0" fillId="13" borderId="4" xfId="0" applyFill="1" applyBorder="1" applyAlignment="1">
      <alignment vertical="top"/>
    </xf>
    <xf numFmtId="0" fontId="0" fillId="13" borderId="5" xfId="0" applyFill="1" applyBorder="1" applyAlignment="1">
      <alignment vertical="top"/>
    </xf>
    <xf numFmtId="0" fontId="0" fillId="13" borderId="6" xfId="0" applyFill="1" applyBorder="1" applyAlignment="1">
      <alignment vertical="top"/>
    </xf>
    <xf numFmtId="0" fontId="0" fillId="13" borderId="0" xfId="0" applyFill="1" applyAlignment="1">
      <alignment vertical="top"/>
    </xf>
    <xf numFmtId="0" fontId="0" fillId="13" borderId="7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0" fillId="13" borderId="9" xfId="0" applyFill="1" applyBorder="1" applyAlignment="1">
      <alignment vertical="top"/>
    </xf>
    <xf numFmtId="0" fontId="0" fillId="13" borderId="10" xfId="0" applyFill="1" applyBorder="1" applyAlignment="1">
      <alignment vertical="top"/>
    </xf>
    <xf numFmtId="165" fontId="0" fillId="3" borderId="0" xfId="0" applyNumberFormat="1" applyFill="1"/>
    <xf numFmtId="0" fontId="8" fillId="3" borderId="0" xfId="0" applyFont="1" applyFill="1" applyAlignment="1">
      <alignment horizontal="left" vertical="top"/>
    </xf>
    <xf numFmtId="0" fontId="0" fillId="3" borderId="0" xfId="0" applyFill="1" applyAlignment="1">
      <alignment horizontal="left"/>
    </xf>
    <xf numFmtId="164" fontId="0" fillId="17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0" xfId="0" applyFill="1"/>
    <xf numFmtId="0" fontId="0" fillId="17" borderId="1" xfId="0" applyFill="1" applyBorder="1"/>
    <xf numFmtId="0" fontId="0" fillId="13" borderId="1" xfId="0" applyFill="1" applyBorder="1"/>
    <xf numFmtId="0" fontId="0" fillId="13" borderId="1" xfId="0" applyFill="1" applyBorder="1" applyAlignment="1">
      <alignment horizontal="center" vertical="center"/>
    </xf>
    <xf numFmtId="0" fontId="4" fillId="11" borderId="13" xfId="0" applyFont="1" applyFill="1" applyBorder="1"/>
    <xf numFmtId="0" fontId="0" fillId="11" borderId="14" xfId="0" applyFill="1" applyBorder="1" applyAlignment="1">
      <alignment horizontal="center" vertical="center"/>
    </xf>
    <xf numFmtId="41" fontId="0" fillId="17" borderId="0" xfId="0" applyNumberFormat="1" applyFill="1"/>
    <xf numFmtId="43" fontId="0" fillId="17" borderId="1" xfId="0" applyNumberFormat="1" applyFill="1" applyBorder="1" applyAlignment="1">
      <alignment horizontal="center" vertical="center"/>
    </xf>
    <xf numFmtId="167" fontId="11" fillId="0" borderId="0" xfId="0" applyNumberFormat="1" applyFont="1"/>
    <xf numFmtId="43" fontId="0" fillId="17" borderId="0" xfId="0" applyNumberFormat="1" applyFill="1" applyAlignment="1">
      <alignment horizontal="center" vertical="center"/>
    </xf>
    <xf numFmtId="165" fontId="0" fillId="17" borderId="0" xfId="0" applyNumberFormat="1" applyFill="1"/>
    <xf numFmtId="166" fontId="0" fillId="17" borderId="0" xfId="0" applyNumberFormat="1" applyFill="1"/>
    <xf numFmtId="166" fontId="4" fillId="17" borderId="0" xfId="0" applyNumberFormat="1" applyFont="1" applyFill="1"/>
    <xf numFmtId="41" fontId="4" fillId="17" borderId="0" xfId="0" applyNumberFormat="1" applyFont="1" applyFill="1"/>
    <xf numFmtId="1" fontId="0" fillId="17" borderId="1" xfId="0" applyNumberFormat="1" applyFill="1" applyBorder="1" applyAlignment="1">
      <alignment horizontal="center" vertical="center"/>
    </xf>
    <xf numFmtId="1" fontId="0" fillId="0" borderId="1" xfId="0" applyNumberFormat="1" applyBorder="1"/>
    <xf numFmtId="164" fontId="0" fillId="17" borderId="1" xfId="0" applyNumberFormat="1" applyFill="1" applyBorder="1"/>
    <xf numFmtId="1" fontId="0" fillId="17" borderId="0" xfId="0" applyNumberFormat="1" applyFill="1"/>
    <xf numFmtId="1" fontId="0" fillId="0" borderId="1" xfId="0" applyNumberFormat="1" applyBorder="1" applyAlignment="1">
      <alignment horizontal="right"/>
    </xf>
    <xf numFmtId="2" fontId="0" fillId="17" borderId="1" xfId="0" applyNumberFormat="1" applyFill="1" applyBorder="1"/>
    <xf numFmtId="164" fontId="0" fillId="17" borderId="0" xfId="0" applyNumberFormat="1" applyFill="1"/>
    <xf numFmtId="2" fontId="0" fillId="17" borderId="0" xfId="0" applyNumberFormat="1" applyFill="1"/>
    <xf numFmtId="41" fontId="0" fillId="13" borderId="1" xfId="0" applyNumberFormat="1" applyFill="1" applyBorder="1"/>
    <xf numFmtId="0" fontId="13" fillId="0" borderId="11" xfId="0" applyFont="1" applyBorder="1" applyAlignment="1">
      <alignment horizontal="center" vertical="top" wrapText="1" readingOrder="1"/>
    </xf>
    <xf numFmtId="0" fontId="13" fillId="0" borderId="11" xfId="0" applyFont="1" applyBorder="1" applyAlignment="1">
      <alignment horizontal="center" wrapText="1" readingOrder="1"/>
    </xf>
    <xf numFmtId="0" fontId="13" fillId="0" borderId="12" xfId="0" applyFont="1" applyBorder="1" applyAlignment="1">
      <alignment horizontal="center" vertical="top" wrapText="1" readingOrder="1"/>
    </xf>
    <xf numFmtId="0" fontId="13" fillId="0" borderId="12" xfId="0" applyFont="1" applyBorder="1" applyAlignment="1">
      <alignment horizontal="center" wrapText="1" readingOrder="1"/>
    </xf>
    <xf numFmtId="0" fontId="13" fillId="0" borderId="1" xfId="0" applyFont="1" applyBorder="1" applyAlignment="1">
      <alignment horizontal="center" vertical="top" wrapText="1" readingOrder="1"/>
    </xf>
    <xf numFmtId="0" fontId="13" fillId="15" borderId="15" xfId="0" applyFont="1" applyFill="1" applyBorder="1" applyAlignment="1">
      <alignment horizontal="center" vertical="top" wrapText="1" readingOrder="1"/>
    </xf>
    <xf numFmtId="0" fontId="0" fillId="0" borderId="2" xfId="0" quotePrefix="1" applyBorder="1"/>
    <xf numFmtId="0" fontId="0" fillId="0" borderId="16" xfId="0" quotePrefix="1" applyBorder="1"/>
    <xf numFmtId="41" fontId="0" fillId="18" borderId="0" xfId="0" applyNumberFormat="1" applyFill="1"/>
    <xf numFmtId="41" fontId="0" fillId="19" borderId="0" xfId="0" applyNumberFormat="1" applyFill="1"/>
    <xf numFmtId="0" fontId="0" fillId="13" borderId="6" xfId="0" applyFill="1" applyBorder="1" applyAlignment="1">
      <alignment horizontal="left" vertical="top" wrapText="1"/>
    </xf>
    <xf numFmtId="0" fontId="0" fillId="13" borderId="0" xfId="0" applyFill="1" applyAlignment="1">
      <alignment horizontal="left" vertical="top" wrapText="1"/>
    </xf>
    <xf numFmtId="0" fontId="0" fillId="13" borderId="7" xfId="0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 vertical="center" wrapText="1" readingOrder="1"/>
    </xf>
    <xf numFmtId="0" fontId="4" fillId="11" borderId="13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723900</xdr:colOff>
      <xdr:row>4</xdr:row>
      <xdr:rowOff>22860</xdr:rowOff>
    </xdr:from>
    <xdr:to>
      <xdr:col>6</xdr:col>
      <xdr:colOff>579120</xdr:colOff>
      <xdr:row>7</xdr:row>
      <xdr:rowOff>7620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D84DAA5-E603-0E99-B569-82DC93C61813}"/>
            </a:ext>
          </a:extLst>
        </xdr:cNvPr>
        <xdr:cNvSpPr/>
      </xdr:nvSpPr>
      <xdr:spPr>
        <a:xfrm>
          <a:off x="2819400" y="929640"/>
          <a:ext cx="2049780" cy="5334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chemeClr val="tx1"/>
              </a:solidFill>
            </a:rPr>
            <a:t>1. Insert the opening inventory for</a:t>
          </a:r>
          <a:r>
            <a:rPr lang="en-GB" sz="1100" baseline="0">
              <a:solidFill>
                <a:schemeClr val="tx1"/>
              </a:solidFill>
            </a:rPr>
            <a:t> all crude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693420</xdr:colOff>
      <xdr:row>2</xdr:row>
      <xdr:rowOff>106680</xdr:rowOff>
    </xdr:from>
    <xdr:to>
      <xdr:col>5</xdr:col>
      <xdr:colOff>285750</xdr:colOff>
      <xdr:row>4</xdr:row>
      <xdr:rowOff>22860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3F5E56F7-D5E3-6EE9-4CC2-21A01530654D}"/>
            </a:ext>
          </a:extLst>
        </xdr:cNvPr>
        <xdr:cNvCxnSpPr>
          <a:stCxn id="3" idx="0"/>
        </xdr:cNvCxnSpPr>
      </xdr:nvCxnSpPr>
      <xdr:spPr>
        <a:xfrm rot="16200000" flipV="1">
          <a:off x="3179445" y="264795"/>
          <a:ext cx="274320" cy="1055370"/>
        </a:xfrm>
        <a:prstGeom prst="bentConnector2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22860</xdr:colOff>
      <xdr:row>5</xdr:row>
      <xdr:rowOff>68580</xdr:rowOff>
    </xdr:from>
    <xdr:to>
      <xdr:col>33</xdr:col>
      <xdr:colOff>15240</xdr:colOff>
      <xdr:row>13</xdr:row>
      <xdr:rowOff>137160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58EADEF-7B51-4972-9BF1-1F8EAD52B13D}"/>
            </a:ext>
          </a:extLst>
        </xdr:cNvPr>
        <xdr:cNvSpPr/>
      </xdr:nvSpPr>
      <xdr:spPr>
        <a:xfrm>
          <a:off x="13022580" y="1158240"/>
          <a:ext cx="2049780" cy="153162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chemeClr val="tx1"/>
              </a:solidFill>
            </a:rPr>
            <a:t>2. Arrange the vessel schedule and ensure we follow</a:t>
          </a:r>
          <a:r>
            <a:rPr lang="en-GB" sz="1100" baseline="0">
              <a:solidFill>
                <a:schemeClr val="tx1"/>
              </a:solidFill>
            </a:rPr>
            <a:t> the travel time, discharge and tank preparation time</a:t>
          </a:r>
          <a:br>
            <a:rPr lang="en-GB" sz="1100" baseline="0">
              <a:solidFill>
                <a:schemeClr val="tx1"/>
              </a:solidFill>
            </a:rPr>
          </a:br>
          <a:br>
            <a:rPr lang="en-GB" sz="1100" baseline="0">
              <a:solidFill>
                <a:schemeClr val="tx1"/>
              </a:solidFill>
            </a:rPr>
          </a:br>
          <a:r>
            <a:rPr lang="en-GB" sz="1100" baseline="0">
              <a:solidFill>
                <a:schemeClr val="tx1"/>
              </a:solidFill>
            </a:rPr>
            <a:t>(Tank Prep: 3 days, discharge -2 days)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1127760</xdr:colOff>
      <xdr:row>3</xdr:row>
      <xdr:rowOff>152400</xdr:rowOff>
    </xdr:from>
    <xdr:to>
      <xdr:col>31</xdr:col>
      <xdr:colOff>1047750</xdr:colOff>
      <xdr:row>5</xdr:row>
      <xdr:rowOff>68580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AC9AFCB7-6513-4289-A889-502F41E5DB84}"/>
            </a:ext>
          </a:extLst>
        </xdr:cNvPr>
        <xdr:cNvCxnSpPr>
          <a:stCxn id="6" idx="0"/>
        </xdr:cNvCxnSpPr>
      </xdr:nvCxnSpPr>
      <xdr:spPr>
        <a:xfrm rot="16200000" flipV="1">
          <a:off x="13382625" y="493395"/>
          <a:ext cx="274320" cy="1055370"/>
        </a:xfrm>
        <a:prstGeom prst="bentConnector2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12</xdr:row>
      <xdr:rowOff>22860</xdr:rowOff>
    </xdr:from>
    <xdr:to>
      <xdr:col>9</xdr:col>
      <xdr:colOff>662940</xdr:colOff>
      <xdr:row>17</xdr:row>
      <xdr:rowOff>76200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2158E9F-BB64-440E-B80C-83AEAAD5DC14}"/>
            </a:ext>
          </a:extLst>
        </xdr:cNvPr>
        <xdr:cNvSpPr/>
      </xdr:nvSpPr>
      <xdr:spPr>
        <a:xfrm>
          <a:off x="5097780" y="2392680"/>
          <a:ext cx="2049780" cy="98298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chemeClr val="tx1"/>
              </a:solidFill>
            </a:rPr>
            <a:t>3. Fill up the inventory</a:t>
          </a:r>
          <a:r>
            <a:rPr lang="en-GB" sz="1100" baseline="0">
              <a:solidFill>
                <a:schemeClr val="tx1"/>
              </a:solidFill>
            </a:rPr>
            <a:t> after discharge. Ensure it won't be utilized until after 3 days of tank prep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632460</xdr:colOff>
      <xdr:row>4</xdr:row>
      <xdr:rowOff>114300</xdr:rowOff>
    </xdr:from>
    <xdr:to>
      <xdr:col>12</xdr:col>
      <xdr:colOff>453390</xdr:colOff>
      <xdr:row>6</xdr:row>
      <xdr:rowOff>22860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9229288D-298F-4C8C-8AE4-02E6B5C0C7F2}"/>
            </a:ext>
          </a:extLst>
        </xdr:cNvPr>
        <xdr:cNvCxnSpPr/>
      </xdr:nvCxnSpPr>
      <xdr:spPr>
        <a:xfrm rot="16200000" flipV="1">
          <a:off x="8239125" y="630555"/>
          <a:ext cx="274320" cy="1055370"/>
        </a:xfrm>
        <a:prstGeom prst="bentConnector2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441960</xdr:colOff>
      <xdr:row>6</xdr:row>
      <xdr:rowOff>22860</xdr:rowOff>
    </xdr:from>
    <xdr:to>
      <xdr:col>14</xdr:col>
      <xdr:colOff>220980</xdr:colOff>
      <xdr:row>9</xdr:row>
      <xdr:rowOff>83820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D5B372A-C3D9-4BB7-B44C-1F7FF8D49B79}"/>
            </a:ext>
          </a:extLst>
        </xdr:cNvPr>
        <xdr:cNvSpPr/>
      </xdr:nvSpPr>
      <xdr:spPr>
        <a:xfrm>
          <a:off x="7658100" y="1295400"/>
          <a:ext cx="2049780" cy="60198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chemeClr val="tx1"/>
              </a:solidFill>
            </a:rPr>
            <a:t>5. Fill up the corresponding rate according to pairing ratio</a:t>
          </a:r>
        </a:p>
      </xdr:txBody>
    </xdr:sp>
    <xdr:clientData/>
  </xdr:twoCellAnchor>
  <xdr:twoCellAnchor>
    <xdr:from>
      <xdr:col>33</xdr:col>
      <xdr:colOff>807720</xdr:colOff>
      <xdr:row>18</xdr:row>
      <xdr:rowOff>152400</xdr:rowOff>
    </xdr:from>
    <xdr:to>
      <xdr:col>34</xdr:col>
      <xdr:colOff>910590</xdr:colOff>
      <xdr:row>20</xdr:row>
      <xdr:rowOff>60960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36111245-1CF9-462A-886C-54F63624D510}"/>
            </a:ext>
          </a:extLst>
        </xdr:cNvPr>
        <xdr:cNvCxnSpPr/>
      </xdr:nvCxnSpPr>
      <xdr:spPr>
        <a:xfrm rot="16200000" flipV="1">
          <a:off x="16255365" y="3244215"/>
          <a:ext cx="274320" cy="1055370"/>
        </a:xfrm>
        <a:prstGeom prst="bentConnector2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617220</xdr:colOff>
      <xdr:row>20</xdr:row>
      <xdr:rowOff>60960</xdr:rowOff>
    </xdr:from>
    <xdr:to>
      <xdr:col>35</xdr:col>
      <xdr:colOff>579120</xdr:colOff>
      <xdr:row>25</xdr:row>
      <xdr:rowOff>144780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0AA2562-5381-428D-AFDC-E271D00332D7}"/>
            </a:ext>
          </a:extLst>
        </xdr:cNvPr>
        <xdr:cNvSpPr/>
      </xdr:nvSpPr>
      <xdr:spPr>
        <a:xfrm>
          <a:off x="15674340" y="3909060"/>
          <a:ext cx="2049780" cy="99822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chemeClr val="tx1"/>
              </a:solidFill>
            </a:rPr>
            <a:t>6. If the</a:t>
          </a:r>
          <a:r>
            <a:rPr lang="en-GB" sz="1100" baseline="0">
              <a:solidFill>
                <a:schemeClr val="tx1"/>
              </a:solidFill>
            </a:rPr>
            <a:t> ullage is not available, please adjust the discharge date. That additional days of discharging will be recorded as demurrage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601980</xdr:colOff>
      <xdr:row>14</xdr:row>
      <xdr:rowOff>91440</xdr:rowOff>
    </xdr:from>
    <xdr:to>
      <xdr:col>5</xdr:col>
      <xdr:colOff>342900</xdr:colOff>
      <xdr:row>19</xdr:row>
      <xdr:rowOff>160020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203F6E6-A918-418F-940E-2A8D552B8D02}"/>
            </a:ext>
          </a:extLst>
        </xdr:cNvPr>
        <xdr:cNvSpPr/>
      </xdr:nvSpPr>
      <xdr:spPr>
        <a:xfrm>
          <a:off x="1851660" y="2842260"/>
          <a:ext cx="2049780" cy="98298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chemeClr val="tx1"/>
              </a:solidFill>
            </a:rPr>
            <a:t>4. Take</a:t>
          </a:r>
          <a:r>
            <a:rPr lang="en-GB" sz="1100" baseline="0">
              <a:solidFill>
                <a:schemeClr val="tx1"/>
              </a:solidFill>
            </a:rPr>
            <a:t> note of the ullage. Please ensure that it is not above 1180 kb.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746760</xdr:colOff>
      <xdr:row>13</xdr:row>
      <xdr:rowOff>30480</xdr:rowOff>
    </xdr:from>
    <xdr:to>
      <xdr:col>4</xdr:col>
      <xdr:colOff>224790</xdr:colOff>
      <xdr:row>14</xdr:row>
      <xdr:rowOff>106680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8897615F-38C5-4648-978A-F4783A0BB803}"/>
            </a:ext>
          </a:extLst>
        </xdr:cNvPr>
        <xdr:cNvCxnSpPr/>
      </xdr:nvCxnSpPr>
      <xdr:spPr>
        <a:xfrm rot="16200000" flipV="1">
          <a:off x="2386965" y="2192655"/>
          <a:ext cx="274320" cy="1055370"/>
        </a:xfrm>
        <a:prstGeom prst="bentConnector2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167640</xdr:colOff>
      <xdr:row>10</xdr:row>
      <xdr:rowOff>121920</xdr:rowOff>
    </xdr:from>
    <xdr:to>
      <xdr:col>8</xdr:col>
      <xdr:colOff>491490</xdr:colOff>
      <xdr:row>12</xdr:row>
      <xdr:rowOff>22860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2751B507-2366-46B8-A427-BDD64F2B4816}"/>
            </a:ext>
          </a:extLst>
        </xdr:cNvPr>
        <xdr:cNvCxnSpPr/>
      </xdr:nvCxnSpPr>
      <xdr:spPr>
        <a:xfrm rot="16200000" flipV="1">
          <a:off x="5579745" y="1727835"/>
          <a:ext cx="274320" cy="1055370"/>
        </a:xfrm>
        <a:prstGeom prst="bentConnector2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0</xdr:colOff>
      <xdr:row>4</xdr:row>
      <xdr:rowOff>0</xdr:rowOff>
    </xdr:from>
    <xdr:to>
      <xdr:col>55</xdr:col>
      <xdr:colOff>79138</xdr:colOff>
      <xdr:row>20</xdr:row>
      <xdr:rowOff>129247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1CA868-18ED-4F5A-A0BF-D29017304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88625" y="933450"/>
          <a:ext cx="7394338" cy="31581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0</xdr:colOff>
      <xdr:row>4</xdr:row>
      <xdr:rowOff>0</xdr:rowOff>
    </xdr:from>
    <xdr:to>
      <xdr:col>55</xdr:col>
      <xdr:colOff>79138</xdr:colOff>
      <xdr:row>20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39AC7-84CC-4049-B86A-9936E3DB6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11960" y="914400"/>
          <a:ext cx="7394338" cy="30814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4</xdr:row>
      <xdr:rowOff>0</xdr:rowOff>
    </xdr:from>
    <xdr:to>
      <xdr:col>56</xdr:col>
      <xdr:colOff>79138</xdr:colOff>
      <xdr:row>20</xdr:row>
      <xdr:rowOff>155373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DCB676-2CE5-4C0D-870E-9E381AB40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23980" y="914400"/>
          <a:ext cx="7394338" cy="308145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1419225</xdr:colOff>
      <xdr:row>6</xdr:row>
      <xdr:rowOff>133350</xdr:rowOff>
    </xdr:from>
    <xdr:to>
      <xdr:col>48</xdr:col>
      <xdr:colOff>21988</xdr:colOff>
      <xdr:row>23</xdr:row>
      <xdr:rowOff>167347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23EDC1-107D-4D8A-AE8E-08E0C8AC8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07025" y="1447800"/>
          <a:ext cx="7394338" cy="32534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0</xdr:colOff>
      <xdr:row>4</xdr:row>
      <xdr:rowOff>0</xdr:rowOff>
    </xdr:from>
    <xdr:to>
      <xdr:col>55</xdr:col>
      <xdr:colOff>79138</xdr:colOff>
      <xdr:row>20</xdr:row>
      <xdr:rowOff>155373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D5A3CE-3619-4CF4-944F-BFC56DE4F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11960" y="914400"/>
          <a:ext cx="7394338" cy="30814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4</xdr:row>
      <xdr:rowOff>0</xdr:rowOff>
    </xdr:from>
    <xdr:to>
      <xdr:col>56</xdr:col>
      <xdr:colOff>79138</xdr:colOff>
      <xdr:row>20</xdr:row>
      <xdr:rowOff>155373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658B3-9CA6-4EF9-B4EF-1E3033F08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00" y="914400"/>
          <a:ext cx="7394338" cy="308145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0</xdr:colOff>
      <xdr:row>4</xdr:row>
      <xdr:rowOff>0</xdr:rowOff>
    </xdr:from>
    <xdr:to>
      <xdr:col>54</xdr:col>
      <xdr:colOff>79139</xdr:colOff>
      <xdr:row>20</xdr:row>
      <xdr:rowOff>155373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F33442-85B0-41BB-AED0-061ECDEA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11960" y="914400"/>
          <a:ext cx="7394338" cy="30814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0</xdr:colOff>
      <xdr:row>4</xdr:row>
      <xdr:rowOff>0</xdr:rowOff>
    </xdr:from>
    <xdr:to>
      <xdr:col>54</xdr:col>
      <xdr:colOff>79138</xdr:colOff>
      <xdr:row>20</xdr:row>
      <xdr:rowOff>146408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B51EA0-4F7D-48B6-A0A7-3305F994C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11960" y="914400"/>
          <a:ext cx="7394338" cy="308145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0</xdr:colOff>
      <xdr:row>4</xdr:row>
      <xdr:rowOff>0</xdr:rowOff>
    </xdr:from>
    <xdr:to>
      <xdr:col>54</xdr:col>
      <xdr:colOff>79138</xdr:colOff>
      <xdr:row>20</xdr:row>
      <xdr:rowOff>155373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7883E0-90AE-42AE-B764-88859A530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11960" y="914400"/>
          <a:ext cx="7394338" cy="308145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0</xdr:colOff>
      <xdr:row>4</xdr:row>
      <xdr:rowOff>0</xdr:rowOff>
    </xdr:from>
    <xdr:to>
      <xdr:col>54</xdr:col>
      <xdr:colOff>79138</xdr:colOff>
      <xdr:row>20</xdr:row>
      <xdr:rowOff>155373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F98F5-E62A-4AE6-80EF-3A5DB6A33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11960" y="914400"/>
          <a:ext cx="7394338" cy="308145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0</xdr:colOff>
      <xdr:row>4</xdr:row>
      <xdr:rowOff>0</xdr:rowOff>
    </xdr:from>
    <xdr:to>
      <xdr:col>53</xdr:col>
      <xdr:colOff>79138</xdr:colOff>
      <xdr:row>20</xdr:row>
      <xdr:rowOff>155373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D4567-7DB2-472D-85EA-AE62C697B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74825" y="917575"/>
          <a:ext cx="7394338" cy="310177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0</xdr:colOff>
      <xdr:row>4</xdr:row>
      <xdr:rowOff>0</xdr:rowOff>
    </xdr:from>
    <xdr:to>
      <xdr:col>53</xdr:col>
      <xdr:colOff>79138</xdr:colOff>
      <xdr:row>21</xdr:row>
      <xdr:rowOff>94413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F2FC64-87E9-4042-9BE7-53E2DE7EC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60450" y="952500"/>
          <a:ext cx="7394338" cy="320337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0</xdr:colOff>
      <xdr:row>4</xdr:row>
      <xdr:rowOff>0</xdr:rowOff>
    </xdr:from>
    <xdr:to>
      <xdr:col>52</xdr:col>
      <xdr:colOff>79138</xdr:colOff>
      <xdr:row>20</xdr:row>
      <xdr:rowOff>155373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FA6B79-4B68-601D-B6E6-4008790B7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74825" y="917575"/>
          <a:ext cx="7401958" cy="3105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9019-7183-4EED-9233-B4DF4414025D}">
  <dimension ref="A1:AT5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E9" sqref="AE9:AE12"/>
    </sheetView>
  </sheetViews>
  <sheetFormatPr defaultRowHeight="14.4" x14ac:dyDescent="0.3"/>
  <cols>
    <col min="1" max="1" width="7.33203125" customWidth="1"/>
    <col min="2" max="2" width="10.88671875" customWidth="1"/>
    <col min="3" max="3" width="12.33203125" customWidth="1"/>
    <col min="4" max="10" width="10.6640625" customWidth="1"/>
    <col min="11" max="11" width="10.44140625" customWidth="1"/>
    <col min="12" max="17" width="7.5546875" customWidth="1"/>
    <col min="18" max="18" width="14.33203125" hidden="1" customWidth="1"/>
    <col min="19" max="19" width="16.33203125" hidden="1" customWidth="1"/>
    <col min="20" max="20" width="12.6640625" hidden="1" customWidth="1"/>
    <col min="21" max="21" width="14.88671875" hidden="1" customWidth="1"/>
    <col min="22" max="22" width="12" customWidth="1"/>
    <col min="23" max="25" width="15.6640625" hidden="1" customWidth="1"/>
    <col min="26" max="26" width="8.6640625" hidden="1" customWidth="1"/>
    <col min="27" max="30" width="0" hidden="1" customWidth="1"/>
    <col min="31" max="32" width="16.5546875" style="28" customWidth="1"/>
    <col min="33" max="33" width="13.44140625" style="28" customWidth="1"/>
    <col min="34" max="34" width="13.88671875" style="28" customWidth="1"/>
    <col min="35" max="35" width="16.5546875" style="28" customWidth="1"/>
    <col min="36" max="36" width="23.88671875" style="28" customWidth="1"/>
    <col min="37" max="37" width="16.5546875" style="28" customWidth="1"/>
  </cols>
  <sheetData>
    <row r="1" spans="1:46" x14ac:dyDescent="0.3">
      <c r="B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46" ht="29.4" thickBot="1" x14ac:dyDescent="0.35">
      <c r="A2" s="1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31</v>
      </c>
      <c r="Q2" s="7" t="s">
        <v>32</v>
      </c>
      <c r="R2" s="7" t="s">
        <v>33</v>
      </c>
      <c r="S2" s="7" t="s">
        <v>34</v>
      </c>
      <c r="T2" s="7" t="s">
        <v>35</v>
      </c>
      <c r="U2" s="7" t="s">
        <v>36</v>
      </c>
      <c r="V2" s="7" t="s">
        <v>37</v>
      </c>
      <c r="W2" s="1" t="s">
        <v>38</v>
      </c>
      <c r="X2" s="1" t="s">
        <v>39</v>
      </c>
      <c r="Y2" s="1" t="s">
        <v>40</v>
      </c>
      <c r="Z2" s="2" t="s">
        <v>41</v>
      </c>
      <c r="AA2" s="2" t="s">
        <v>42</v>
      </c>
      <c r="AB2" s="2" t="s">
        <v>43</v>
      </c>
      <c r="AC2" s="2" t="s">
        <v>44</v>
      </c>
      <c r="AD2" s="2" t="s">
        <v>45</v>
      </c>
      <c r="AE2" s="7" t="s">
        <v>46</v>
      </c>
      <c r="AF2" s="7" t="s">
        <v>47</v>
      </c>
      <c r="AG2" s="7" t="s">
        <v>48</v>
      </c>
      <c r="AH2" s="7" t="s">
        <v>49</v>
      </c>
      <c r="AI2" s="7" t="s">
        <v>50</v>
      </c>
      <c r="AJ2" s="1" t="s">
        <v>51</v>
      </c>
      <c r="AK2" s="1" t="s">
        <v>52</v>
      </c>
    </row>
    <row r="3" spans="1:46" x14ac:dyDescent="0.3">
      <c r="A3" s="76">
        <v>0</v>
      </c>
      <c r="B3" s="77">
        <f>1180-C3</f>
        <v>1180</v>
      </c>
      <c r="C3" s="78">
        <f>SUM(D3:J3)</f>
        <v>0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5"/>
      <c r="X3" s="5"/>
      <c r="Y3" s="5"/>
      <c r="Z3" s="5"/>
      <c r="AA3" s="5"/>
      <c r="AB3" s="5"/>
      <c r="AC3" s="5"/>
      <c r="AD3" s="5"/>
      <c r="AE3" s="54"/>
      <c r="AF3" s="54"/>
      <c r="AG3" s="54"/>
      <c r="AH3" s="54"/>
      <c r="AI3" s="54"/>
      <c r="AJ3" s="54"/>
      <c r="AK3" s="54"/>
      <c r="AL3" s="83" t="s">
        <v>178</v>
      </c>
      <c r="AM3" s="84"/>
      <c r="AN3" s="84"/>
      <c r="AO3" s="84"/>
      <c r="AP3" s="84"/>
      <c r="AQ3" s="84"/>
      <c r="AR3" s="84"/>
      <c r="AS3" s="84"/>
      <c r="AT3" s="85"/>
    </row>
    <row r="4" spans="1:46" ht="13.95" customHeight="1" x14ac:dyDescent="0.3">
      <c r="A4">
        <v>1</v>
      </c>
      <c r="B4" s="50">
        <f>1180-C4</f>
        <v>1180</v>
      </c>
      <c r="C4" s="46">
        <f>SUM(D4:J4)</f>
        <v>0</v>
      </c>
      <c r="D4" s="46">
        <f t="shared" ref="D4:J19" si="0">D3-K4</f>
        <v>0</v>
      </c>
      <c r="E4" s="46">
        <f t="shared" si="0"/>
        <v>0</v>
      </c>
      <c r="F4" s="46">
        <f t="shared" si="0"/>
        <v>0</v>
      </c>
      <c r="G4" s="46">
        <f t="shared" si="0"/>
        <v>0</v>
      </c>
      <c r="H4" s="46">
        <f t="shared" si="0"/>
        <v>0</v>
      </c>
      <c r="I4" s="46">
        <f t="shared" si="0"/>
        <v>0</v>
      </c>
      <c r="J4" s="46">
        <f t="shared" si="0"/>
        <v>0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63">
        <f>SUM(K4:Q4)</f>
        <v>0</v>
      </c>
      <c r="W4" t="s">
        <v>55</v>
      </c>
      <c r="X4">
        <v>96</v>
      </c>
      <c r="Y4">
        <v>96</v>
      </c>
      <c r="AE4" s="79" t="s">
        <v>56</v>
      </c>
      <c r="AF4" s="80"/>
      <c r="AG4" s="80"/>
      <c r="AH4" s="80"/>
      <c r="AI4" s="80"/>
      <c r="AJ4" s="80"/>
      <c r="AK4" s="30"/>
      <c r="AL4" s="86" t="s">
        <v>179</v>
      </c>
      <c r="AM4" s="87"/>
      <c r="AN4" s="87"/>
      <c r="AO4" s="87"/>
      <c r="AP4" s="87"/>
      <c r="AQ4" s="87"/>
      <c r="AR4" s="87"/>
      <c r="AS4" s="87"/>
      <c r="AT4" s="88"/>
    </row>
    <row r="5" spans="1:46" x14ac:dyDescent="0.3">
      <c r="A5">
        <v>2</v>
      </c>
      <c r="B5" s="50">
        <f t="shared" ref="B5:B44" si="1">1180-C5</f>
        <v>1180</v>
      </c>
      <c r="C5" s="46">
        <f t="shared" ref="C5:C43" si="2">SUM(D5:J5)</f>
        <v>0</v>
      </c>
      <c r="D5" s="46">
        <f t="shared" si="0"/>
        <v>0</v>
      </c>
      <c r="E5" s="46">
        <f t="shared" si="0"/>
        <v>0</v>
      </c>
      <c r="F5" s="46">
        <f t="shared" si="0"/>
        <v>0</v>
      </c>
      <c r="G5" s="46">
        <f t="shared" si="0"/>
        <v>0</v>
      </c>
      <c r="H5" s="46">
        <f t="shared" si="0"/>
        <v>0</v>
      </c>
      <c r="I5" s="46">
        <f t="shared" si="0"/>
        <v>0</v>
      </c>
      <c r="J5" s="46">
        <f t="shared" si="0"/>
        <v>0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63">
        <f t="shared" ref="V5:V44" si="3">SUM(K5:Q5)</f>
        <v>0</v>
      </c>
      <c r="W5" t="s">
        <v>55</v>
      </c>
      <c r="X5">
        <v>96</v>
      </c>
      <c r="Y5">
        <v>96</v>
      </c>
      <c r="AE5" s="79" t="s">
        <v>57</v>
      </c>
      <c r="AF5" s="80"/>
      <c r="AG5" s="80"/>
      <c r="AH5" s="80"/>
      <c r="AI5" s="80"/>
      <c r="AJ5" s="80"/>
      <c r="AK5" s="30"/>
      <c r="AL5" s="130" t="s">
        <v>180</v>
      </c>
      <c r="AM5" s="131"/>
      <c r="AN5" s="131"/>
      <c r="AO5" s="131"/>
      <c r="AP5" s="131"/>
      <c r="AQ5" s="131"/>
      <c r="AR5" s="131"/>
      <c r="AS5" s="131"/>
      <c r="AT5" s="132"/>
    </row>
    <row r="6" spans="1:46" x14ac:dyDescent="0.3">
      <c r="A6">
        <v>3</v>
      </c>
      <c r="B6" s="50">
        <f t="shared" si="1"/>
        <v>1180</v>
      </c>
      <c r="C6" s="46">
        <f t="shared" si="2"/>
        <v>0</v>
      </c>
      <c r="D6" s="46">
        <f t="shared" si="0"/>
        <v>0</v>
      </c>
      <c r="E6" s="46">
        <f t="shared" si="0"/>
        <v>0</v>
      </c>
      <c r="F6" s="46">
        <f t="shared" si="0"/>
        <v>0</v>
      </c>
      <c r="G6" s="46">
        <f t="shared" si="0"/>
        <v>0</v>
      </c>
      <c r="H6" s="46">
        <f t="shared" si="0"/>
        <v>0</v>
      </c>
      <c r="I6" s="46">
        <f t="shared" si="0"/>
        <v>0</v>
      </c>
      <c r="J6" s="46">
        <f t="shared" si="0"/>
        <v>0</v>
      </c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63">
        <f t="shared" si="3"/>
        <v>0</v>
      </c>
      <c r="W6" t="s">
        <v>55</v>
      </c>
      <c r="X6">
        <v>58.000000000000007</v>
      </c>
      <c r="Y6">
        <v>96</v>
      </c>
      <c r="AE6" s="79" t="s">
        <v>58</v>
      </c>
      <c r="AF6" s="80"/>
      <c r="AG6" s="80"/>
      <c r="AH6" s="80"/>
      <c r="AI6" s="80"/>
      <c r="AJ6" s="80"/>
      <c r="AK6" s="30"/>
      <c r="AL6" s="130"/>
      <c r="AM6" s="131"/>
      <c r="AN6" s="131"/>
      <c r="AO6" s="131"/>
      <c r="AP6" s="131"/>
      <c r="AQ6" s="131"/>
      <c r="AR6" s="131"/>
      <c r="AS6" s="131"/>
      <c r="AT6" s="132"/>
    </row>
    <row r="7" spans="1:46" x14ac:dyDescent="0.3">
      <c r="A7">
        <v>4</v>
      </c>
      <c r="B7" s="50">
        <f t="shared" si="1"/>
        <v>1180</v>
      </c>
      <c r="C7" s="46">
        <f t="shared" si="2"/>
        <v>0</v>
      </c>
      <c r="D7" s="46">
        <f t="shared" si="0"/>
        <v>0</v>
      </c>
      <c r="E7" s="46">
        <f t="shared" si="0"/>
        <v>0</v>
      </c>
      <c r="F7" s="46">
        <f t="shared" si="0"/>
        <v>0</v>
      </c>
      <c r="G7" s="46">
        <f t="shared" si="0"/>
        <v>0</v>
      </c>
      <c r="H7" s="46">
        <f t="shared" si="0"/>
        <v>0</v>
      </c>
      <c r="I7" s="46">
        <f t="shared" si="0"/>
        <v>0</v>
      </c>
      <c r="J7" s="46">
        <f t="shared" si="0"/>
        <v>0</v>
      </c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63">
        <f t="shared" si="3"/>
        <v>0</v>
      </c>
      <c r="W7" t="s">
        <v>61</v>
      </c>
      <c r="X7">
        <v>95</v>
      </c>
      <c r="Y7">
        <v>95</v>
      </c>
      <c r="AE7" s="79" t="s">
        <v>58</v>
      </c>
      <c r="AF7" s="80"/>
      <c r="AG7" s="80"/>
      <c r="AH7" s="80"/>
      <c r="AI7" s="80"/>
      <c r="AJ7" s="80"/>
      <c r="AK7" s="30"/>
      <c r="AL7" s="86" t="s">
        <v>181</v>
      </c>
      <c r="AM7" s="87"/>
      <c r="AN7" s="87"/>
      <c r="AO7" s="87"/>
      <c r="AP7" s="87"/>
      <c r="AQ7" s="87"/>
      <c r="AR7" s="87"/>
      <c r="AS7" s="87"/>
      <c r="AT7" s="88"/>
    </row>
    <row r="8" spans="1:46" ht="13.95" customHeight="1" x14ac:dyDescent="0.3">
      <c r="A8">
        <v>5</v>
      </c>
      <c r="B8" s="50">
        <f t="shared" si="1"/>
        <v>1180</v>
      </c>
      <c r="C8" s="46">
        <f>SUM(D8:J8)</f>
        <v>0</v>
      </c>
      <c r="D8" s="46">
        <f t="shared" si="0"/>
        <v>0</v>
      </c>
      <c r="E8" s="46">
        <f t="shared" si="0"/>
        <v>0</v>
      </c>
      <c r="F8" s="46">
        <f t="shared" si="0"/>
        <v>0</v>
      </c>
      <c r="G8" s="46">
        <f t="shared" si="0"/>
        <v>0</v>
      </c>
      <c r="H8" s="46">
        <f t="shared" si="0"/>
        <v>0</v>
      </c>
      <c r="I8" s="46">
        <f t="shared" si="0"/>
        <v>0</v>
      </c>
      <c r="J8" s="46">
        <f t="shared" si="0"/>
        <v>0</v>
      </c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63">
        <f t="shared" si="3"/>
        <v>0</v>
      </c>
      <c r="W8" t="s">
        <v>61</v>
      </c>
      <c r="X8">
        <v>96</v>
      </c>
      <c r="Y8">
        <v>96</v>
      </c>
      <c r="AE8" s="79" t="s">
        <v>63</v>
      </c>
      <c r="AF8" s="80" t="s">
        <v>64</v>
      </c>
      <c r="AG8" s="80"/>
      <c r="AH8" s="80"/>
      <c r="AI8" s="80"/>
      <c r="AJ8" s="80"/>
      <c r="AK8" s="30"/>
      <c r="AL8" s="86" t="s">
        <v>182</v>
      </c>
      <c r="AM8" s="87"/>
      <c r="AN8" s="87"/>
      <c r="AO8" s="87"/>
      <c r="AP8" s="87"/>
      <c r="AQ8" s="87"/>
      <c r="AR8" s="87"/>
      <c r="AS8" s="87"/>
      <c r="AT8" s="88"/>
    </row>
    <row r="9" spans="1:46" x14ac:dyDescent="0.3">
      <c r="A9">
        <v>6</v>
      </c>
      <c r="B9" s="50">
        <f t="shared" si="1"/>
        <v>1180</v>
      </c>
      <c r="C9" s="46">
        <f>SUM(D9:J9)</f>
        <v>0</v>
      </c>
      <c r="D9" s="46">
        <f>D8-K9</f>
        <v>0</v>
      </c>
      <c r="E9" s="46">
        <f>E8-L9</f>
        <v>0</v>
      </c>
      <c r="F9" s="46">
        <f t="shared" si="0"/>
        <v>0</v>
      </c>
      <c r="G9" s="46">
        <f t="shared" si="0"/>
        <v>0</v>
      </c>
      <c r="H9" s="46">
        <f t="shared" si="0"/>
        <v>0</v>
      </c>
      <c r="I9" s="46">
        <f t="shared" si="0"/>
        <v>0</v>
      </c>
      <c r="J9" s="46">
        <f t="shared" si="0"/>
        <v>0</v>
      </c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63">
        <f t="shared" si="3"/>
        <v>0</v>
      </c>
      <c r="W9" t="s">
        <v>61</v>
      </c>
      <c r="X9">
        <v>96</v>
      </c>
      <c r="Y9">
        <v>96</v>
      </c>
      <c r="AE9" s="79" t="s">
        <v>63</v>
      </c>
      <c r="AF9" s="80" t="s">
        <v>65</v>
      </c>
      <c r="AG9" s="80"/>
      <c r="AH9" s="80"/>
      <c r="AI9" s="80"/>
      <c r="AJ9" s="80"/>
      <c r="AK9" s="30"/>
      <c r="AL9" s="86" t="s">
        <v>183</v>
      </c>
      <c r="AM9" s="87"/>
      <c r="AN9" s="87"/>
      <c r="AO9" s="87"/>
      <c r="AP9" s="87"/>
      <c r="AQ9" s="87"/>
      <c r="AR9" s="87"/>
      <c r="AS9" s="87"/>
      <c r="AT9" s="88"/>
    </row>
    <row r="10" spans="1:46" x14ac:dyDescent="0.3">
      <c r="A10">
        <v>7</v>
      </c>
      <c r="B10" s="50">
        <f t="shared" si="1"/>
        <v>1180</v>
      </c>
      <c r="C10" s="46">
        <f>SUM(D10:J10)</f>
        <v>0</v>
      </c>
      <c r="D10" s="46">
        <f t="shared" si="0"/>
        <v>0</v>
      </c>
      <c r="E10" s="46">
        <f t="shared" si="0"/>
        <v>0</v>
      </c>
      <c r="F10" s="46">
        <f t="shared" si="0"/>
        <v>0</v>
      </c>
      <c r="G10" s="46">
        <f t="shared" si="0"/>
        <v>0</v>
      </c>
      <c r="H10" s="46">
        <f t="shared" si="0"/>
        <v>0</v>
      </c>
      <c r="I10" s="46">
        <f t="shared" si="0"/>
        <v>0</v>
      </c>
      <c r="J10" s="46">
        <f t="shared" si="0"/>
        <v>0</v>
      </c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63">
        <f t="shared" si="3"/>
        <v>0</v>
      </c>
      <c r="W10" t="s">
        <v>61</v>
      </c>
      <c r="X10">
        <v>96</v>
      </c>
      <c r="Y10">
        <v>96</v>
      </c>
      <c r="AE10" s="79" t="s">
        <v>66</v>
      </c>
      <c r="AF10" s="80" t="s">
        <v>67</v>
      </c>
      <c r="AG10" s="80"/>
      <c r="AH10" s="80"/>
      <c r="AI10" s="80"/>
      <c r="AJ10" s="80"/>
      <c r="AK10" s="30"/>
      <c r="AL10" s="86"/>
      <c r="AM10" s="87"/>
      <c r="AN10" s="87"/>
      <c r="AO10" s="87"/>
      <c r="AP10" s="87"/>
      <c r="AQ10" s="87"/>
      <c r="AR10" s="87"/>
      <c r="AS10" s="87"/>
      <c r="AT10" s="88"/>
    </row>
    <row r="11" spans="1:46" x14ac:dyDescent="0.3">
      <c r="A11">
        <v>8</v>
      </c>
      <c r="B11" s="50">
        <f t="shared" si="1"/>
        <v>1180</v>
      </c>
      <c r="C11" s="46">
        <f t="shared" si="2"/>
        <v>0</v>
      </c>
      <c r="D11" s="46">
        <f t="shared" si="0"/>
        <v>0</v>
      </c>
      <c r="E11" s="46">
        <f t="shared" si="0"/>
        <v>0</v>
      </c>
      <c r="F11" s="46">
        <f t="shared" si="0"/>
        <v>0</v>
      </c>
      <c r="G11" s="46">
        <f t="shared" si="0"/>
        <v>0</v>
      </c>
      <c r="H11" s="46">
        <f t="shared" si="0"/>
        <v>0</v>
      </c>
      <c r="I11" s="46">
        <f t="shared" si="0"/>
        <v>0</v>
      </c>
      <c r="J11" s="46">
        <f t="shared" si="0"/>
        <v>0</v>
      </c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63">
        <f t="shared" si="3"/>
        <v>0</v>
      </c>
      <c r="W11" t="s">
        <v>61</v>
      </c>
      <c r="X11">
        <v>96</v>
      </c>
      <c r="Y11">
        <v>96</v>
      </c>
      <c r="AE11" s="79" t="s">
        <v>66</v>
      </c>
      <c r="AF11" s="80" t="s">
        <v>58</v>
      </c>
      <c r="AG11" s="81"/>
      <c r="AH11" s="80"/>
      <c r="AI11" s="80"/>
      <c r="AJ11" s="80"/>
      <c r="AL11" s="86"/>
      <c r="AM11" s="87"/>
      <c r="AN11" s="87"/>
      <c r="AO11" s="87"/>
      <c r="AP11" s="87"/>
      <c r="AQ11" s="87"/>
      <c r="AR11" s="87"/>
      <c r="AS11" s="87"/>
      <c r="AT11" s="88"/>
    </row>
    <row r="12" spans="1:46" ht="15" customHeight="1" x14ac:dyDescent="0.3">
      <c r="A12">
        <v>9</v>
      </c>
      <c r="B12" s="50">
        <f t="shared" si="1"/>
        <v>1180</v>
      </c>
      <c r="C12" s="46">
        <f t="shared" si="2"/>
        <v>0</v>
      </c>
      <c r="D12" s="46">
        <f t="shared" si="0"/>
        <v>0</v>
      </c>
      <c r="E12" s="46">
        <f t="shared" si="0"/>
        <v>0</v>
      </c>
      <c r="F12" s="46">
        <f t="shared" si="0"/>
        <v>0</v>
      </c>
      <c r="G12" s="46">
        <f t="shared" si="0"/>
        <v>0</v>
      </c>
      <c r="H12" s="46">
        <f t="shared" si="0"/>
        <v>0</v>
      </c>
      <c r="I12" s="46">
        <f t="shared" si="0"/>
        <v>0</v>
      </c>
      <c r="J12" s="46">
        <f t="shared" si="0"/>
        <v>0</v>
      </c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63">
        <f t="shared" si="3"/>
        <v>0</v>
      </c>
      <c r="W12" t="s">
        <v>61</v>
      </c>
      <c r="X12">
        <v>96</v>
      </c>
      <c r="Y12">
        <v>96</v>
      </c>
      <c r="AE12" s="79" t="s">
        <v>66</v>
      </c>
      <c r="AF12" s="80" t="s">
        <v>58</v>
      </c>
      <c r="AG12" s="81"/>
      <c r="AH12" s="80"/>
      <c r="AI12" s="80"/>
      <c r="AJ12" s="80"/>
      <c r="AL12" s="86"/>
      <c r="AM12" s="87"/>
      <c r="AN12" s="87"/>
      <c r="AO12" s="87"/>
      <c r="AP12" s="87"/>
      <c r="AQ12" s="87"/>
      <c r="AR12" s="87"/>
      <c r="AS12" s="87"/>
      <c r="AT12" s="88"/>
    </row>
    <row r="13" spans="1:46" x14ac:dyDescent="0.3">
      <c r="A13">
        <v>10</v>
      </c>
      <c r="B13" s="50">
        <f>1180-C13</f>
        <v>1180</v>
      </c>
      <c r="C13" s="46">
        <f>SUM(D13:J13)</f>
        <v>0</v>
      </c>
      <c r="D13" s="46">
        <f t="shared" si="0"/>
        <v>0</v>
      </c>
      <c r="E13" s="46">
        <f t="shared" si="0"/>
        <v>0</v>
      </c>
      <c r="F13" s="46">
        <f t="shared" si="0"/>
        <v>0</v>
      </c>
      <c r="G13" s="46">
        <f t="shared" si="0"/>
        <v>0</v>
      </c>
      <c r="H13" s="46">
        <f t="shared" si="0"/>
        <v>0</v>
      </c>
      <c r="I13" s="46">
        <f t="shared" si="0"/>
        <v>0</v>
      </c>
      <c r="J13" s="46">
        <f t="shared" si="0"/>
        <v>0</v>
      </c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63">
        <f t="shared" si="3"/>
        <v>0</v>
      </c>
      <c r="W13" t="s">
        <v>61</v>
      </c>
      <c r="X13">
        <v>75.555555555555515</v>
      </c>
      <c r="Y13">
        <v>96</v>
      </c>
      <c r="AE13" s="79" t="s">
        <v>68</v>
      </c>
      <c r="AF13" s="80" t="s">
        <v>58</v>
      </c>
      <c r="AG13" s="80" t="s">
        <v>69</v>
      </c>
      <c r="AH13" s="82"/>
      <c r="AI13" s="80"/>
      <c r="AJ13" s="80"/>
      <c r="AK13"/>
      <c r="AL13" s="86"/>
      <c r="AM13" s="87"/>
      <c r="AN13" s="87"/>
      <c r="AO13" s="87"/>
      <c r="AP13" s="87"/>
      <c r="AQ13" s="87"/>
      <c r="AR13" s="87"/>
      <c r="AS13" s="87"/>
      <c r="AT13" s="88"/>
    </row>
    <row r="14" spans="1:46" ht="15.6" customHeight="1" x14ac:dyDescent="0.3">
      <c r="A14">
        <v>11</v>
      </c>
      <c r="B14" s="50">
        <f t="shared" si="1"/>
        <v>1180</v>
      </c>
      <c r="C14" s="46">
        <f t="shared" si="2"/>
        <v>0</v>
      </c>
      <c r="D14" s="46">
        <f t="shared" si="0"/>
        <v>0</v>
      </c>
      <c r="E14" s="46">
        <f t="shared" si="0"/>
        <v>0</v>
      </c>
      <c r="F14" s="46">
        <f t="shared" si="0"/>
        <v>0</v>
      </c>
      <c r="G14" s="46">
        <f t="shared" si="0"/>
        <v>0</v>
      </c>
      <c r="H14" s="46">
        <f t="shared" si="0"/>
        <v>0</v>
      </c>
      <c r="I14" s="46">
        <f t="shared" si="0"/>
        <v>0</v>
      </c>
      <c r="J14" s="46">
        <f t="shared" si="0"/>
        <v>0</v>
      </c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63">
        <f t="shared" si="3"/>
        <v>0</v>
      </c>
      <c r="W14" t="s">
        <v>61</v>
      </c>
      <c r="X14">
        <v>95</v>
      </c>
      <c r="Y14">
        <v>95</v>
      </c>
      <c r="AE14" s="79"/>
      <c r="AF14" s="80" t="s">
        <v>63</v>
      </c>
      <c r="AG14" s="80" t="s">
        <v>58</v>
      </c>
      <c r="AH14" s="80" t="s">
        <v>70</v>
      </c>
      <c r="AI14" s="79"/>
      <c r="AJ14" s="80"/>
      <c r="AL14" s="86"/>
      <c r="AM14" s="87"/>
      <c r="AN14" s="87"/>
      <c r="AO14" s="87"/>
      <c r="AP14" s="87"/>
      <c r="AQ14" s="87"/>
      <c r="AR14" s="87"/>
      <c r="AS14" s="87"/>
      <c r="AT14" s="88"/>
    </row>
    <row r="15" spans="1:46" ht="15" thickBot="1" x14ac:dyDescent="0.35">
      <c r="A15">
        <v>12</v>
      </c>
      <c r="B15" s="50">
        <f t="shared" si="1"/>
        <v>1180</v>
      </c>
      <c r="C15" s="46">
        <f t="shared" si="2"/>
        <v>0</v>
      </c>
      <c r="D15" s="46">
        <f t="shared" si="0"/>
        <v>0</v>
      </c>
      <c r="E15" s="46">
        <f t="shared" si="0"/>
        <v>0</v>
      </c>
      <c r="F15" s="46">
        <f t="shared" si="0"/>
        <v>0</v>
      </c>
      <c r="G15" s="46">
        <f t="shared" si="0"/>
        <v>0</v>
      </c>
      <c r="H15" s="46">
        <f t="shared" si="0"/>
        <v>0</v>
      </c>
      <c r="I15" s="46">
        <f>I14-P15</f>
        <v>0</v>
      </c>
      <c r="J15" s="46">
        <f>J14-Q15</f>
        <v>0</v>
      </c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63">
        <f t="shared" si="3"/>
        <v>0</v>
      </c>
      <c r="W15" t="s">
        <v>61</v>
      </c>
      <c r="X15">
        <v>95</v>
      </c>
      <c r="Y15">
        <v>95</v>
      </c>
      <c r="AE15" s="79"/>
      <c r="AF15" s="80" t="s">
        <v>63</v>
      </c>
      <c r="AG15" s="80" t="s">
        <v>58</v>
      </c>
      <c r="AH15" s="80" t="s">
        <v>58</v>
      </c>
      <c r="AI15" s="79"/>
      <c r="AJ15" s="79"/>
      <c r="AL15" s="89"/>
      <c r="AM15" s="90"/>
      <c r="AN15" s="90"/>
      <c r="AO15" s="90"/>
      <c r="AP15" s="90"/>
      <c r="AQ15" s="90"/>
      <c r="AR15" s="90"/>
      <c r="AS15" s="90"/>
      <c r="AT15" s="91"/>
    </row>
    <row r="16" spans="1:46" x14ac:dyDescent="0.3">
      <c r="A16">
        <v>13</v>
      </c>
      <c r="B16" s="50">
        <f t="shared" si="1"/>
        <v>1180</v>
      </c>
      <c r="C16" s="46">
        <f t="shared" si="2"/>
        <v>0</v>
      </c>
      <c r="D16" s="46">
        <f t="shared" si="0"/>
        <v>0</v>
      </c>
      <c r="E16" s="46">
        <f t="shared" si="0"/>
        <v>0</v>
      </c>
      <c r="F16" s="46">
        <f t="shared" si="0"/>
        <v>0</v>
      </c>
      <c r="G16" s="46">
        <f t="shared" si="0"/>
        <v>0</v>
      </c>
      <c r="H16" s="46">
        <f t="shared" si="0"/>
        <v>0</v>
      </c>
      <c r="I16" s="46">
        <f t="shared" si="0"/>
        <v>0</v>
      </c>
      <c r="J16" s="46">
        <f t="shared" si="0"/>
        <v>0</v>
      </c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63">
        <f t="shared" si="3"/>
        <v>0</v>
      </c>
      <c r="W16" t="s">
        <v>61</v>
      </c>
      <c r="X16">
        <v>95</v>
      </c>
      <c r="Y16">
        <v>95</v>
      </c>
      <c r="AE16" s="79"/>
      <c r="AF16" s="80" t="s">
        <v>71</v>
      </c>
      <c r="AG16" s="80" t="s">
        <v>63</v>
      </c>
      <c r="AH16" s="80" t="s">
        <v>58</v>
      </c>
      <c r="AI16" s="79"/>
      <c r="AJ16" s="79"/>
      <c r="AL16" s="29"/>
    </row>
    <row r="17" spans="1:38" x14ac:dyDescent="0.3">
      <c r="A17">
        <v>14</v>
      </c>
      <c r="B17" s="50">
        <f t="shared" si="1"/>
        <v>1180</v>
      </c>
      <c r="C17" s="46">
        <f>SUM(D17:J17)</f>
        <v>0</v>
      </c>
      <c r="D17" s="46">
        <f t="shared" si="0"/>
        <v>0</v>
      </c>
      <c r="E17" s="46">
        <f t="shared" si="0"/>
        <v>0</v>
      </c>
      <c r="F17" s="46">
        <f>F16-M17</f>
        <v>0</v>
      </c>
      <c r="G17" s="46">
        <f t="shared" si="0"/>
        <v>0</v>
      </c>
      <c r="H17" s="46">
        <f t="shared" si="0"/>
        <v>0</v>
      </c>
      <c r="I17" s="46">
        <f t="shared" si="0"/>
        <v>0</v>
      </c>
      <c r="J17" s="46">
        <f t="shared" si="0"/>
        <v>0</v>
      </c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63">
        <f t="shared" si="3"/>
        <v>0</v>
      </c>
      <c r="W17" t="s">
        <v>61</v>
      </c>
      <c r="X17">
        <v>91.841704718417063</v>
      </c>
      <c r="Y17">
        <v>95</v>
      </c>
      <c r="AE17" s="79"/>
      <c r="AF17" s="80" t="s">
        <v>71</v>
      </c>
      <c r="AG17" s="80" t="s">
        <v>63</v>
      </c>
      <c r="AH17" s="80" t="s">
        <v>58</v>
      </c>
      <c r="AI17" s="79"/>
      <c r="AJ17" s="79"/>
      <c r="AL17" s="29"/>
    </row>
    <row r="18" spans="1:38" x14ac:dyDescent="0.3">
      <c r="A18">
        <v>15</v>
      </c>
      <c r="B18" s="50">
        <f t="shared" si="1"/>
        <v>1180</v>
      </c>
      <c r="C18" s="46">
        <f t="shared" si="2"/>
        <v>0</v>
      </c>
      <c r="D18" s="46">
        <f t="shared" si="0"/>
        <v>0</v>
      </c>
      <c r="E18" s="46">
        <f t="shared" si="0"/>
        <v>0</v>
      </c>
      <c r="F18" s="46">
        <f t="shared" si="0"/>
        <v>0</v>
      </c>
      <c r="G18" s="46">
        <f t="shared" si="0"/>
        <v>0</v>
      </c>
      <c r="H18" s="46">
        <f t="shared" si="0"/>
        <v>0</v>
      </c>
      <c r="I18" s="46">
        <f t="shared" si="0"/>
        <v>0</v>
      </c>
      <c r="J18" s="46">
        <f t="shared" si="0"/>
        <v>0</v>
      </c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63">
        <f t="shared" si="3"/>
        <v>0</v>
      </c>
      <c r="W18" t="s">
        <v>72</v>
      </c>
      <c r="X18">
        <v>7.1054273576010019E-15</v>
      </c>
      <c r="Y18">
        <v>96</v>
      </c>
      <c r="AE18" s="79"/>
      <c r="AF18" s="80" t="s">
        <v>71</v>
      </c>
      <c r="AG18" s="80" t="s">
        <v>71</v>
      </c>
      <c r="AH18" s="81" t="s">
        <v>73</v>
      </c>
      <c r="AI18" s="79"/>
      <c r="AJ18" s="79"/>
      <c r="AL18" s="29"/>
    </row>
    <row r="19" spans="1:38" x14ac:dyDescent="0.3">
      <c r="A19">
        <v>16</v>
      </c>
      <c r="B19" s="50">
        <f t="shared" si="1"/>
        <v>1180</v>
      </c>
      <c r="C19" s="46">
        <f t="shared" si="2"/>
        <v>0</v>
      </c>
      <c r="D19" s="46">
        <f t="shared" si="0"/>
        <v>0</v>
      </c>
      <c r="E19" s="46">
        <f t="shared" si="0"/>
        <v>0</v>
      </c>
      <c r="F19" s="46">
        <f t="shared" si="0"/>
        <v>0</v>
      </c>
      <c r="G19" s="46">
        <f t="shared" si="0"/>
        <v>0</v>
      </c>
      <c r="H19" s="46">
        <f t="shared" si="0"/>
        <v>0</v>
      </c>
      <c r="I19" s="46">
        <f t="shared" si="0"/>
        <v>0</v>
      </c>
      <c r="J19" s="46">
        <f t="shared" si="0"/>
        <v>0</v>
      </c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63">
        <f t="shared" si="3"/>
        <v>0</v>
      </c>
      <c r="W19" t="s">
        <v>72</v>
      </c>
      <c r="X19">
        <v>95</v>
      </c>
      <c r="Y19">
        <v>95</v>
      </c>
      <c r="AE19" s="79"/>
      <c r="AF19" s="80" t="s">
        <v>74</v>
      </c>
      <c r="AG19" s="80" t="s">
        <v>71</v>
      </c>
      <c r="AH19" s="81" t="s">
        <v>73</v>
      </c>
      <c r="AI19" s="79"/>
      <c r="AJ19" s="79"/>
      <c r="AK19"/>
      <c r="AL19" s="29"/>
    </row>
    <row r="20" spans="1:38" x14ac:dyDescent="0.3">
      <c r="A20">
        <v>17</v>
      </c>
      <c r="B20" s="50">
        <f t="shared" si="1"/>
        <v>1180</v>
      </c>
      <c r="C20" s="46">
        <f t="shared" si="2"/>
        <v>0</v>
      </c>
      <c r="D20" s="46">
        <f t="shared" ref="D20:J35" si="4">D19-K20</f>
        <v>0</v>
      </c>
      <c r="E20" s="46">
        <f t="shared" si="4"/>
        <v>0</v>
      </c>
      <c r="F20" s="46">
        <f t="shared" si="4"/>
        <v>0</v>
      </c>
      <c r="G20" s="46">
        <f t="shared" si="4"/>
        <v>0</v>
      </c>
      <c r="H20" s="46">
        <f t="shared" si="4"/>
        <v>0</v>
      </c>
      <c r="I20" s="46">
        <f t="shared" si="4"/>
        <v>0</v>
      </c>
      <c r="J20" s="46">
        <f t="shared" si="4"/>
        <v>0</v>
      </c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63">
        <f t="shared" si="3"/>
        <v>0</v>
      </c>
      <c r="W20" t="s">
        <v>72</v>
      </c>
      <c r="X20">
        <v>77.60273972602738</v>
      </c>
      <c r="Y20">
        <v>95</v>
      </c>
      <c r="AE20" s="79"/>
      <c r="AF20" s="79"/>
      <c r="AG20" s="80" t="s">
        <v>71</v>
      </c>
      <c r="AH20" s="81" t="s">
        <v>63</v>
      </c>
      <c r="AI20" s="79"/>
      <c r="AJ20" s="79"/>
      <c r="AK20" s="30"/>
      <c r="AL20" s="29"/>
    </row>
    <row r="21" spans="1:38" x14ac:dyDescent="0.3">
      <c r="A21">
        <v>18</v>
      </c>
      <c r="B21" s="50">
        <f t="shared" si="1"/>
        <v>1180</v>
      </c>
      <c r="C21" s="46">
        <f>SUM(D21:J21)</f>
        <v>0</v>
      </c>
      <c r="D21" s="46">
        <f t="shared" si="4"/>
        <v>0</v>
      </c>
      <c r="E21" s="46">
        <f t="shared" si="4"/>
        <v>0</v>
      </c>
      <c r="F21" s="46">
        <f t="shared" si="4"/>
        <v>0</v>
      </c>
      <c r="G21" s="46">
        <f t="shared" si="4"/>
        <v>0</v>
      </c>
      <c r="H21" s="46">
        <f t="shared" si="4"/>
        <v>0</v>
      </c>
      <c r="I21" s="46">
        <f>I20-P21</f>
        <v>0</v>
      </c>
      <c r="J21" s="46">
        <f t="shared" si="4"/>
        <v>0</v>
      </c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63">
        <f t="shared" si="3"/>
        <v>0</v>
      </c>
      <c r="W21" t="s">
        <v>72</v>
      </c>
      <c r="X21">
        <v>95</v>
      </c>
      <c r="Y21">
        <v>95</v>
      </c>
      <c r="AE21" s="79"/>
      <c r="AF21" s="79"/>
      <c r="AG21" s="79" t="s">
        <v>76</v>
      </c>
      <c r="AH21" s="81" t="s">
        <v>63</v>
      </c>
      <c r="AI21" s="79" t="s">
        <v>77</v>
      </c>
      <c r="AJ21" s="79"/>
      <c r="AK21" s="30"/>
      <c r="AL21" s="29"/>
    </row>
    <row r="22" spans="1:38" x14ac:dyDescent="0.3">
      <c r="A22">
        <v>19</v>
      </c>
      <c r="B22" s="50">
        <f t="shared" si="1"/>
        <v>1180</v>
      </c>
      <c r="C22" s="46">
        <f t="shared" si="2"/>
        <v>0</v>
      </c>
      <c r="D22" s="46">
        <f t="shared" si="4"/>
        <v>0</v>
      </c>
      <c r="E22" s="46">
        <f t="shared" si="4"/>
        <v>0</v>
      </c>
      <c r="F22" s="46">
        <f t="shared" si="4"/>
        <v>0</v>
      </c>
      <c r="G22" s="46">
        <f t="shared" si="4"/>
        <v>0</v>
      </c>
      <c r="H22" s="46">
        <f t="shared" si="4"/>
        <v>0</v>
      </c>
      <c r="I22" s="46">
        <f t="shared" si="4"/>
        <v>0</v>
      </c>
      <c r="J22" s="46">
        <f t="shared" si="4"/>
        <v>0</v>
      </c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63">
        <f t="shared" si="3"/>
        <v>0</v>
      </c>
      <c r="W22" t="s">
        <v>72</v>
      </c>
      <c r="X22">
        <v>96</v>
      </c>
      <c r="Y22">
        <v>96</v>
      </c>
      <c r="AE22" s="79"/>
      <c r="AF22" s="79"/>
      <c r="AG22" s="79"/>
      <c r="AH22" s="80" t="s">
        <v>71</v>
      </c>
      <c r="AI22" s="79" t="s">
        <v>78</v>
      </c>
      <c r="AJ22" s="79"/>
      <c r="AK22" s="30"/>
      <c r="AL22" s="29"/>
    </row>
    <row r="23" spans="1:38" x14ac:dyDescent="0.3">
      <c r="A23">
        <v>20</v>
      </c>
      <c r="B23" s="50">
        <f t="shared" si="1"/>
        <v>1180</v>
      </c>
      <c r="C23" s="46">
        <f t="shared" si="2"/>
        <v>0</v>
      </c>
      <c r="D23" s="46">
        <f t="shared" si="4"/>
        <v>0</v>
      </c>
      <c r="E23" s="46">
        <f t="shared" si="4"/>
        <v>0</v>
      </c>
      <c r="F23" s="46">
        <f t="shared" si="4"/>
        <v>0</v>
      </c>
      <c r="G23" s="46">
        <f t="shared" si="4"/>
        <v>0</v>
      </c>
      <c r="H23" s="46">
        <f t="shared" si="4"/>
        <v>0</v>
      </c>
      <c r="I23" s="46">
        <f t="shared" si="4"/>
        <v>0</v>
      </c>
      <c r="J23" s="46">
        <f t="shared" si="4"/>
        <v>0</v>
      </c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63">
        <f t="shared" si="3"/>
        <v>0</v>
      </c>
      <c r="W23" t="s">
        <v>72</v>
      </c>
      <c r="X23">
        <v>96</v>
      </c>
      <c r="Y23">
        <v>96</v>
      </c>
      <c r="AE23" s="79"/>
      <c r="AF23" s="79"/>
      <c r="AG23" s="79"/>
      <c r="AH23" s="80" t="s">
        <v>71</v>
      </c>
      <c r="AI23" s="79" t="s">
        <v>58</v>
      </c>
      <c r="AJ23" s="79"/>
      <c r="AK23" s="30"/>
      <c r="AL23" s="29"/>
    </row>
    <row r="24" spans="1:38" x14ac:dyDescent="0.3">
      <c r="A24">
        <v>21</v>
      </c>
      <c r="B24" s="50">
        <f t="shared" si="1"/>
        <v>1180</v>
      </c>
      <c r="C24" s="46">
        <f t="shared" si="2"/>
        <v>0</v>
      </c>
      <c r="D24" s="46">
        <f t="shared" si="4"/>
        <v>0</v>
      </c>
      <c r="E24" s="46">
        <f t="shared" si="4"/>
        <v>0</v>
      </c>
      <c r="F24" s="46">
        <f t="shared" si="4"/>
        <v>0</v>
      </c>
      <c r="G24" s="46">
        <f t="shared" si="4"/>
        <v>0</v>
      </c>
      <c r="H24" s="46">
        <f t="shared" si="4"/>
        <v>0</v>
      </c>
      <c r="I24" s="46">
        <f t="shared" si="4"/>
        <v>0</v>
      </c>
      <c r="J24" s="46">
        <f t="shared" si="4"/>
        <v>0</v>
      </c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63">
        <f t="shared" si="3"/>
        <v>0</v>
      </c>
      <c r="W24" t="s">
        <v>72</v>
      </c>
      <c r="X24">
        <v>8</v>
      </c>
      <c r="Y24">
        <v>96</v>
      </c>
      <c r="AE24" s="79"/>
      <c r="AF24" s="79"/>
      <c r="AG24" s="79"/>
      <c r="AH24" s="80" t="s">
        <v>71</v>
      </c>
      <c r="AI24" s="79" t="s">
        <v>58</v>
      </c>
      <c r="AJ24" s="79" t="s">
        <v>79</v>
      </c>
      <c r="AK24" s="30"/>
      <c r="AL24" s="29"/>
    </row>
    <row r="25" spans="1:38" x14ac:dyDescent="0.3">
      <c r="A25">
        <v>22</v>
      </c>
      <c r="B25" s="50">
        <f t="shared" si="1"/>
        <v>1180</v>
      </c>
      <c r="C25" s="46">
        <f>SUM(D25:J25)</f>
        <v>0</v>
      </c>
      <c r="D25" s="46">
        <f t="shared" si="4"/>
        <v>0</v>
      </c>
      <c r="E25" s="46">
        <f t="shared" si="4"/>
        <v>0</v>
      </c>
      <c r="F25" s="46">
        <f t="shared" si="4"/>
        <v>0</v>
      </c>
      <c r="G25" s="46">
        <f t="shared" si="4"/>
        <v>0</v>
      </c>
      <c r="H25" s="46">
        <f t="shared" si="4"/>
        <v>0</v>
      </c>
      <c r="I25" s="46">
        <f t="shared" si="4"/>
        <v>0</v>
      </c>
      <c r="J25" s="46">
        <f t="shared" si="4"/>
        <v>0</v>
      </c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63">
        <f t="shared" si="3"/>
        <v>0</v>
      </c>
      <c r="W25" t="s">
        <v>72</v>
      </c>
      <c r="X25">
        <v>87</v>
      </c>
      <c r="Y25">
        <v>87</v>
      </c>
      <c r="AE25" s="79"/>
      <c r="AF25" s="79"/>
      <c r="AG25" s="79"/>
      <c r="AH25" s="80" t="s">
        <v>80</v>
      </c>
      <c r="AI25" s="81" t="s">
        <v>73</v>
      </c>
      <c r="AJ25" s="79" t="s">
        <v>81</v>
      </c>
      <c r="AK25" s="30"/>
      <c r="AL25" s="29"/>
    </row>
    <row r="26" spans="1:38" x14ac:dyDescent="0.3">
      <c r="A26">
        <v>23</v>
      </c>
      <c r="B26" s="50">
        <f t="shared" si="1"/>
        <v>1180</v>
      </c>
      <c r="C26" s="46">
        <f t="shared" si="2"/>
        <v>0</v>
      </c>
      <c r="D26" s="46">
        <f t="shared" si="4"/>
        <v>0</v>
      </c>
      <c r="E26" s="46">
        <f t="shared" si="4"/>
        <v>0</v>
      </c>
      <c r="F26" s="46">
        <f t="shared" si="4"/>
        <v>0</v>
      </c>
      <c r="G26" s="46">
        <f t="shared" si="4"/>
        <v>0</v>
      </c>
      <c r="H26" s="46">
        <f t="shared" si="4"/>
        <v>0</v>
      </c>
      <c r="I26" s="46">
        <f t="shared" si="4"/>
        <v>0</v>
      </c>
      <c r="J26" s="46">
        <f t="shared" si="4"/>
        <v>0</v>
      </c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63">
        <f t="shared" si="3"/>
        <v>0</v>
      </c>
      <c r="W26" t="s">
        <v>72</v>
      </c>
      <c r="X26">
        <v>87</v>
      </c>
      <c r="Y26">
        <v>87</v>
      </c>
      <c r="AE26" s="79"/>
      <c r="AF26" s="79"/>
      <c r="AG26" s="79"/>
      <c r="AH26" s="81"/>
      <c r="AI26" s="79" t="s">
        <v>63</v>
      </c>
      <c r="AJ26" s="79" t="s">
        <v>82</v>
      </c>
      <c r="AK26" s="30"/>
      <c r="AL26" s="29"/>
    </row>
    <row r="27" spans="1:38" x14ac:dyDescent="0.3">
      <c r="A27">
        <v>24</v>
      </c>
      <c r="B27" s="50">
        <f t="shared" si="1"/>
        <v>1180</v>
      </c>
      <c r="C27" s="46">
        <f t="shared" si="2"/>
        <v>0</v>
      </c>
      <c r="D27" s="46">
        <f>D26-K27</f>
        <v>0</v>
      </c>
      <c r="E27" s="46">
        <f t="shared" si="4"/>
        <v>0</v>
      </c>
      <c r="F27" s="46">
        <f t="shared" si="4"/>
        <v>0</v>
      </c>
      <c r="G27" s="46">
        <f>G26-N27</f>
        <v>0</v>
      </c>
      <c r="H27" s="46">
        <f t="shared" si="4"/>
        <v>0</v>
      </c>
      <c r="I27" s="46">
        <f t="shared" si="4"/>
        <v>0</v>
      </c>
      <c r="J27" s="46">
        <f t="shared" si="4"/>
        <v>0</v>
      </c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63">
        <f t="shared" si="3"/>
        <v>0</v>
      </c>
      <c r="W27" t="s">
        <v>72</v>
      </c>
      <c r="X27">
        <v>87</v>
      </c>
      <c r="Y27">
        <v>87</v>
      </c>
      <c r="AE27" s="79"/>
      <c r="AF27" s="79"/>
      <c r="AG27" s="79"/>
      <c r="AH27" s="79"/>
      <c r="AI27" s="79" t="s">
        <v>63</v>
      </c>
      <c r="AJ27" s="79" t="s">
        <v>83</v>
      </c>
      <c r="AK27" s="30"/>
      <c r="AL27" s="29"/>
    </row>
    <row r="28" spans="1:38" x14ac:dyDescent="0.3">
      <c r="A28">
        <v>25</v>
      </c>
      <c r="B28" s="50">
        <f t="shared" si="1"/>
        <v>1180</v>
      </c>
      <c r="C28" s="46">
        <f t="shared" si="2"/>
        <v>0</v>
      </c>
      <c r="D28" s="46">
        <f t="shared" si="4"/>
        <v>0</v>
      </c>
      <c r="E28" s="46">
        <f t="shared" si="4"/>
        <v>0</v>
      </c>
      <c r="F28" s="46">
        <f t="shared" si="4"/>
        <v>0</v>
      </c>
      <c r="G28" s="46">
        <f t="shared" si="4"/>
        <v>0</v>
      </c>
      <c r="H28" s="46">
        <f t="shared" si="4"/>
        <v>0</v>
      </c>
      <c r="I28" s="46">
        <f t="shared" si="4"/>
        <v>0</v>
      </c>
      <c r="J28" s="46">
        <f t="shared" si="4"/>
        <v>0</v>
      </c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63">
        <f t="shared" si="3"/>
        <v>0</v>
      </c>
      <c r="W28" t="s">
        <v>72</v>
      </c>
      <c r="X28">
        <v>87</v>
      </c>
      <c r="Y28">
        <v>87</v>
      </c>
      <c r="AE28" s="79"/>
      <c r="AF28" s="79"/>
      <c r="AG28" s="79"/>
      <c r="AH28" s="79"/>
      <c r="AI28" s="79" t="s">
        <v>71</v>
      </c>
      <c r="AJ28" s="79" t="s">
        <v>58</v>
      </c>
      <c r="AK28" s="30"/>
      <c r="AL28" s="29"/>
    </row>
    <row r="29" spans="1:38" x14ac:dyDescent="0.3">
      <c r="A29">
        <v>26</v>
      </c>
      <c r="B29" s="50">
        <f t="shared" si="1"/>
        <v>1180</v>
      </c>
      <c r="C29" s="46">
        <f t="shared" si="2"/>
        <v>0</v>
      </c>
      <c r="D29" s="46">
        <f t="shared" si="4"/>
        <v>0</v>
      </c>
      <c r="E29" s="46">
        <f t="shared" si="4"/>
        <v>0</v>
      </c>
      <c r="F29" s="46">
        <f t="shared" si="4"/>
        <v>0</v>
      </c>
      <c r="G29" s="46">
        <f t="shared" si="4"/>
        <v>0</v>
      </c>
      <c r="H29" s="46">
        <f t="shared" si="4"/>
        <v>0</v>
      </c>
      <c r="I29" s="46">
        <f t="shared" si="4"/>
        <v>0</v>
      </c>
      <c r="J29" s="46">
        <f t="shared" si="4"/>
        <v>0</v>
      </c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63">
        <f t="shared" si="3"/>
        <v>0</v>
      </c>
      <c r="W29" t="s">
        <v>72</v>
      </c>
      <c r="X29">
        <v>12</v>
      </c>
      <c r="Y29">
        <v>87</v>
      </c>
      <c r="AE29" s="79"/>
      <c r="AF29" s="79"/>
      <c r="AG29" s="79"/>
      <c r="AH29" s="79"/>
      <c r="AI29" s="79" t="s">
        <v>71</v>
      </c>
      <c r="AJ29" s="79" t="s">
        <v>58</v>
      </c>
      <c r="AK29" s="30"/>
      <c r="AL29" s="29"/>
    </row>
    <row r="30" spans="1:38" x14ac:dyDescent="0.3">
      <c r="A30">
        <v>27</v>
      </c>
      <c r="B30" s="50">
        <f t="shared" si="1"/>
        <v>1180</v>
      </c>
      <c r="C30" s="46">
        <f t="shared" si="2"/>
        <v>0</v>
      </c>
      <c r="D30" s="46">
        <f t="shared" si="4"/>
        <v>0</v>
      </c>
      <c r="E30" s="46">
        <f t="shared" si="4"/>
        <v>0</v>
      </c>
      <c r="F30" s="46">
        <f t="shared" si="4"/>
        <v>0</v>
      </c>
      <c r="G30" s="46">
        <f t="shared" si="4"/>
        <v>0</v>
      </c>
      <c r="H30" s="46">
        <f t="shared" si="4"/>
        <v>0</v>
      </c>
      <c r="I30" s="46">
        <f t="shared" si="4"/>
        <v>0</v>
      </c>
      <c r="J30" s="46">
        <f t="shared" si="4"/>
        <v>0</v>
      </c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63">
        <f t="shared" si="3"/>
        <v>0</v>
      </c>
      <c r="W30" t="s">
        <v>72</v>
      </c>
      <c r="X30">
        <v>95</v>
      </c>
      <c r="Y30">
        <v>95</v>
      </c>
      <c r="AE30" s="79"/>
      <c r="AF30" s="79"/>
      <c r="AG30" s="79"/>
      <c r="AH30" s="79"/>
      <c r="AI30" s="79" t="s">
        <v>71</v>
      </c>
      <c r="AJ30" s="79" t="s">
        <v>58</v>
      </c>
      <c r="AK30" s="30"/>
      <c r="AL30" s="29"/>
    </row>
    <row r="31" spans="1:38" x14ac:dyDescent="0.3">
      <c r="A31">
        <v>28</v>
      </c>
      <c r="B31" s="50">
        <f t="shared" si="1"/>
        <v>1180</v>
      </c>
      <c r="C31" s="46">
        <f t="shared" si="2"/>
        <v>0</v>
      </c>
      <c r="D31" s="46">
        <f t="shared" si="4"/>
        <v>0</v>
      </c>
      <c r="E31" s="46">
        <f t="shared" si="4"/>
        <v>0</v>
      </c>
      <c r="F31" s="46">
        <f t="shared" si="4"/>
        <v>0</v>
      </c>
      <c r="G31" s="46">
        <f t="shared" si="4"/>
        <v>0</v>
      </c>
      <c r="H31" s="46">
        <f t="shared" si="4"/>
        <v>0</v>
      </c>
      <c r="I31" s="46">
        <f t="shared" si="4"/>
        <v>0</v>
      </c>
      <c r="J31" s="46">
        <f t="shared" si="4"/>
        <v>0</v>
      </c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63">
        <f t="shared" si="3"/>
        <v>0</v>
      </c>
      <c r="W31" t="s">
        <v>72</v>
      </c>
      <c r="X31">
        <v>55</v>
      </c>
      <c r="Y31">
        <v>95</v>
      </c>
      <c r="AE31" s="79"/>
      <c r="AF31" s="79"/>
      <c r="AG31" s="79"/>
      <c r="AH31" s="79"/>
      <c r="AI31" s="79" t="s">
        <v>84</v>
      </c>
      <c r="AJ31" s="79" t="s">
        <v>63</v>
      </c>
      <c r="AK31" s="30"/>
      <c r="AL31" s="29"/>
    </row>
    <row r="32" spans="1:38" x14ac:dyDescent="0.3">
      <c r="A32">
        <v>29</v>
      </c>
      <c r="B32" s="50">
        <f t="shared" si="1"/>
        <v>1180</v>
      </c>
      <c r="C32" s="46">
        <f t="shared" si="2"/>
        <v>0</v>
      </c>
      <c r="D32" s="46">
        <f t="shared" si="4"/>
        <v>0</v>
      </c>
      <c r="E32" s="46">
        <f t="shared" si="4"/>
        <v>0</v>
      </c>
      <c r="F32" s="46">
        <f t="shared" si="4"/>
        <v>0</v>
      </c>
      <c r="G32" s="46">
        <f t="shared" si="4"/>
        <v>0</v>
      </c>
      <c r="H32" s="46">
        <f>H31-O32</f>
        <v>0</v>
      </c>
      <c r="I32" s="46">
        <f>I31-P32</f>
        <v>0</v>
      </c>
      <c r="J32" s="46">
        <f>J31-Q32</f>
        <v>0</v>
      </c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63">
        <f t="shared" si="3"/>
        <v>0</v>
      </c>
      <c r="W32" t="s">
        <v>72</v>
      </c>
      <c r="X32">
        <v>95</v>
      </c>
      <c r="Y32">
        <v>95</v>
      </c>
      <c r="AE32" s="79"/>
      <c r="AF32" s="79"/>
      <c r="AG32" s="79"/>
      <c r="AH32" s="79"/>
      <c r="AI32" s="81"/>
      <c r="AJ32" s="79" t="s">
        <v>63</v>
      </c>
      <c r="AK32" s="30"/>
      <c r="AL32" s="29"/>
    </row>
    <row r="33" spans="1:38" x14ac:dyDescent="0.3">
      <c r="A33">
        <v>30</v>
      </c>
      <c r="B33" s="50">
        <f t="shared" si="1"/>
        <v>1180</v>
      </c>
      <c r="C33" s="46">
        <f t="shared" si="2"/>
        <v>0</v>
      </c>
      <c r="D33" s="46">
        <f t="shared" si="4"/>
        <v>0</v>
      </c>
      <c r="E33" s="46">
        <f t="shared" si="4"/>
        <v>0</v>
      </c>
      <c r="F33" s="46">
        <f t="shared" si="4"/>
        <v>0</v>
      </c>
      <c r="G33" s="46">
        <f t="shared" si="4"/>
        <v>0</v>
      </c>
      <c r="H33" s="46">
        <f t="shared" si="4"/>
        <v>0</v>
      </c>
      <c r="I33" s="46">
        <f t="shared" si="4"/>
        <v>0</v>
      </c>
      <c r="J33" s="46">
        <f t="shared" si="4"/>
        <v>0</v>
      </c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63">
        <f t="shared" si="3"/>
        <v>0</v>
      </c>
      <c r="W33" t="s">
        <v>72</v>
      </c>
      <c r="X33">
        <v>95</v>
      </c>
      <c r="Y33">
        <v>95</v>
      </c>
      <c r="AE33" s="79"/>
      <c r="AF33" s="79"/>
      <c r="AG33" s="79"/>
      <c r="AH33" s="79"/>
      <c r="AI33" s="79"/>
      <c r="AJ33" s="79" t="s">
        <v>71</v>
      </c>
      <c r="AK33" s="30"/>
      <c r="AL33" s="29"/>
    </row>
    <row r="34" spans="1:38" x14ac:dyDescent="0.3">
      <c r="A34">
        <v>31</v>
      </c>
      <c r="B34" s="50">
        <f t="shared" si="1"/>
        <v>1180</v>
      </c>
      <c r="C34" s="46">
        <f t="shared" si="2"/>
        <v>0</v>
      </c>
      <c r="D34" s="46">
        <f t="shared" si="4"/>
        <v>0</v>
      </c>
      <c r="E34" s="46">
        <f t="shared" si="4"/>
        <v>0</v>
      </c>
      <c r="F34" s="46">
        <f t="shared" si="4"/>
        <v>0</v>
      </c>
      <c r="G34" s="46">
        <f t="shared" si="4"/>
        <v>0</v>
      </c>
      <c r="H34" s="46">
        <f t="shared" si="4"/>
        <v>0</v>
      </c>
      <c r="I34" s="46">
        <f t="shared" si="4"/>
        <v>0</v>
      </c>
      <c r="J34" s="46">
        <f t="shared" si="4"/>
        <v>0</v>
      </c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63">
        <f t="shared" si="3"/>
        <v>0</v>
      </c>
      <c r="AE34" s="79"/>
      <c r="AF34" s="79"/>
      <c r="AG34" s="79"/>
      <c r="AH34" s="79"/>
      <c r="AI34" s="79"/>
      <c r="AJ34" s="79" t="s">
        <v>71</v>
      </c>
      <c r="AK34" s="30"/>
      <c r="AL34" s="29"/>
    </row>
    <row r="35" spans="1:38" x14ac:dyDescent="0.3">
      <c r="A35">
        <v>32</v>
      </c>
      <c r="B35" s="50">
        <f t="shared" si="1"/>
        <v>1180</v>
      </c>
      <c r="C35" s="46">
        <f t="shared" si="2"/>
        <v>0</v>
      </c>
      <c r="D35" s="46">
        <f t="shared" si="4"/>
        <v>0</v>
      </c>
      <c r="E35" s="46">
        <f t="shared" si="4"/>
        <v>0</v>
      </c>
      <c r="F35" s="46">
        <f t="shared" si="4"/>
        <v>0</v>
      </c>
      <c r="G35" s="46">
        <f t="shared" si="4"/>
        <v>0</v>
      </c>
      <c r="H35" s="46">
        <f t="shared" si="4"/>
        <v>0</v>
      </c>
      <c r="I35" s="46">
        <f t="shared" si="4"/>
        <v>0</v>
      </c>
      <c r="J35" s="46">
        <f t="shared" si="4"/>
        <v>0</v>
      </c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63">
        <f t="shared" si="3"/>
        <v>0</v>
      </c>
      <c r="AE35" s="79"/>
      <c r="AF35" s="79"/>
      <c r="AG35" s="79"/>
      <c r="AH35" s="79"/>
      <c r="AI35" s="79"/>
      <c r="AJ35" s="79" t="s">
        <v>71</v>
      </c>
      <c r="AK35" s="30"/>
      <c r="AL35" s="29"/>
    </row>
    <row r="36" spans="1:38" x14ac:dyDescent="0.3">
      <c r="A36">
        <v>33</v>
      </c>
      <c r="B36" s="50">
        <f t="shared" si="1"/>
        <v>1180</v>
      </c>
      <c r="C36" s="46">
        <f t="shared" si="2"/>
        <v>0</v>
      </c>
      <c r="D36" s="46">
        <f t="shared" ref="D36:J44" si="5">D35-K36</f>
        <v>0</v>
      </c>
      <c r="E36" s="46">
        <f t="shared" si="5"/>
        <v>0</v>
      </c>
      <c r="F36" s="46">
        <f t="shared" si="5"/>
        <v>0</v>
      </c>
      <c r="G36" s="46">
        <f t="shared" si="5"/>
        <v>0</v>
      </c>
      <c r="H36" s="46">
        <f t="shared" si="5"/>
        <v>0</v>
      </c>
      <c r="I36" s="46">
        <f t="shared" si="5"/>
        <v>0</v>
      </c>
      <c r="J36" s="46">
        <f>J35-Q36</f>
        <v>0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63">
        <f t="shared" si="3"/>
        <v>0</v>
      </c>
      <c r="AE36" s="79"/>
      <c r="AF36" s="79"/>
      <c r="AG36" s="79"/>
      <c r="AH36" s="79"/>
      <c r="AI36" s="79"/>
      <c r="AJ36" s="79" t="s">
        <v>85</v>
      </c>
      <c r="AK36" s="30"/>
      <c r="AL36" s="29"/>
    </row>
    <row r="37" spans="1:38" x14ac:dyDescent="0.3">
      <c r="A37">
        <v>34</v>
      </c>
      <c r="B37" s="50">
        <f t="shared" si="1"/>
        <v>1180</v>
      </c>
      <c r="C37" s="46">
        <f t="shared" si="2"/>
        <v>0</v>
      </c>
      <c r="D37" s="46">
        <f t="shared" si="5"/>
        <v>0</v>
      </c>
      <c r="E37" s="46">
        <f t="shared" si="5"/>
        <v>0</v>
      </c>
      <c r="F37" s="46">
        <f t="shared" si="5"/>
        <v>0</v>
      </c>
      <c r="G37" s="46">
        <f t="shared" si="5"/>
        <v>0</v>
      </c>
      <c r="H37" s="46">
        <f t="shared" si="5"/>
        <v>0</v>
      </c>
      <c r="I37" s="46">
        <f t="shared" si="5"/>
        <v>0</v>
      </c>
      <c r="J37" s="46">
        <f t="shared" si="5"/>
        <v>0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63">
        <f t="shared" si="3"/>
        <v>0</v>
      </c>
      <c r="AE37" s="30"/>
      <c r="AF37" s="30"/>
      <c r="AG37" s="30"/>
      <c r="AH37" s="30"/>
      <c r="AI37" s="30"/>
      <c r="AK37" s="30"/>
      <c r="AL37" s="29"/>
    </row>
    <row r="38" spans="1:38" x14ac:dyDescent="0.3">
      <c r="A38">
        <v>35</v>
      </c>
      <c r="B38" s="50">
        <f t="shared" si="1"/>
        <v>1180</v>
      </c>
      <c r="C38" s="46">
        <f t="shared" si="2"/>
        <v>0</v>
      </c>
      <c r="D38" s="46">
        <f t="shared" si="5"/>
        <v>0</v>
      </c>
      <c r="E38" s="46">
        <f t="shared" si="5"/>
        <v>0</v>
      </c>
      <c r="F38" s="46">
        <f t="shared" si="5"/>
        <v>0</v>
      </c>
      <c r="G38" s="46">
        <f t="shared" si="5"/>
        <v>0</v>
      </c>
      <c r="H38" s="46">
        <f t="shared" si="5"/>
        <v>0</v>
      </c>
      <c r="I38" s="46">
        <f t="shared" si="5"/>
        <v>0</v>
      </c>
      <c r="J38" s="46">
        <f t="shared" si="5"/>
        <v>0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63">
        <f t="shared" si="3"/>
        <v>0</v>
      </c>
    </row>
    <row r="39" spans="1:38" x14ac:dyDescent="0.3">
      <c r="A39">
        <v>36</v>
      </c>
      <c r="B39" s="50">
        <f t="shared" si="1"/>
        <v>1180</v>
      </c>
      <c r="C39" s="46">
        <f t="shared" si="2"/>
        <v>0</v>
      </c>
      <c r="D39" s="46">
        <f t="shared" si="5"/>
        <v>0</v>
      </c>
      <c r="E39" s="46">
        <f t="shared" si="5"/>
        <v>0</v>
      </c>
      <c r="F39" s="46">
        <f t="shared" si="5"/>
        <v>0</v>
      </c>
      <c r="G39" s="46">
        <f t="shared" si="5"/>
        <v>0</v>
      </c>
      <c r="H39" s="46">
        <f t="shared" si="5"/>
        <v>0</v>
      </c>
      <c r="I39" s="46">
        <f t="shared" si="5"/>
        <v>0</v>
      </c>
      <c r="J39" s="46">
        <f t="shared" si="5"/>
        <v>0</v>
      </c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63">
        <f t="shared" si="3"/>
        <v>0</v>
      </c>
    </row>
    <row r="40" spans="1:38" x14ac:dyDescent="0.3">
      <c r="A40">
        <v>37</v>
      </c>
      <c r="B40" s="50">
        <f t="shared" si="1"/>
        <v>1180</v>
      </c>
      <c r="C40" s="46">
        <f t="shared" si="2"/>
        <v>0</v>
      </c>
      <c r="D40" s="46">
        <f t="shared" si="5"/>
        <v>0</v>
      </c>
      <c r="E40" s="46">
        <f t="shared" si="5"/>
        <v>0</v>
      </c>
      <c r="F40" s="46">
        <f t="shared" si="5"/>
        <v>0</v>
      </c>
      <c r="G40" s="46">
        <f t="shared" si="5"/>
        <v>0</v>
      </c>
      <c r="H40" s="46">
        <f t="shared" si="5"/>
        <v>0</v>
      </c>
      <c r="I40" s="46">
        <f t="shared" si="5"/>
        <v>0</v>
      </c>
      <c r="J40" s="46">
        <f t="shared" si="5"/>
        <v>0</v>
      </c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63">
        <f t="shared" si="3"/>
        <v>0</v>
      </c>
    </row>
    <row r="41" spans="1:38" x14ac:dyDescent="0.3">
      <c r="A41">
        <v>38</v>
      </c>
      <c r="B41" s="50">
        <f t="shared" si="1"/>
        <v>1180</v>
      </c>
      <c r="C41" s="46">
        <f t="shared" si="2"/>
        <v>0</v>
      </c>
      <c r="D41" s="46">
        <f t="shared" si="5"/>
        <v>0</v>
      </c>
      <c r="E41" s="46">
        <f t="shared" si="5"/>
        <v>0</v>
      </c>
      <c r="F41" s="46">
        <f t="shared" si="5"/>
        <v>0</v>
      </c>
      <c r="G41" s="46">
        <f t="shared" si="5"/>
        <v>0</v>
      </c>
      <c r="H41" s="46">
        <f t="shared" si="5"/>
        <v>0</v>
      </c>
      <c r="I41" s="46">
        <f t="shared" si="5"/>
        <v>0</v>
      </c>
      <c r="J41" s="46">
        <f t="shared" si="5"/>
        <v>0</v>
      </c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63">
        <f t="shared" si="3"/>
        <v>0</v>
      </c>
    </row>
    <row r="42" spans="1:38" x14ac:dyDescent="0.3">
      <c r="A42">
        <v>39</v>
      </c>
      <c r="B42" s="50">
        <f t="shared" si="1"/>
        <v>1180</v>
      </c>
      <c r="C42" s="46">
        <f t="shared" si="2"/>
        <v>0</v>
      </c>
      <c r="D42" s="46">
        <f t="shared" si="5"/>
        <v>0</v>
      </c>
      <c r="E42" s="46">
        <f t="shared" si="5"/>
        <v>0</v>
      </c>
      <c r="F42" s="46">
        <f t="shared" si="5"/>
        <v>0</v>
      </c>
      <c r="G42" s="46">
        <f t="shared" si="5"/>
        <v>0</v>
      </c>
      <c r="H42" s="46">
        <f t="shared" si="5"/>
        <v>0</v>
      </c>
      <c r="I42" s="46">
        <f t="shared" si="5"/>
        <v>0</v>
      </c>
      <c r="J42" s="46">
        <f t="shared" si="5"/>
        <v>0</v>
      </c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63">
        <f t="shared" si="3"/>
        <v>0</v>
      </c>
    </row>
    <row r="43" spans="1:38" x14ac:dyDescent="0.3">
      <c r="A43">
        <v>40</v>
      </c>
      <c r="B43" s="50">
        <f t="shared" si="1"/>
        <v>1180</v>
      </c>
      <c r="C43" s="46">
        <f t="shared" si="2"/>
        <v>0</v>
      </c>
      <c r="D43" s="46">
        <f t="shared" si="5"/>
        <v>0</v>
      </c>
      <c r="E43" s="46">
        <f t="shared" si="5"/>
        <v>0</v>
      </c>
      <c r="F43" s="46">
        <f t="shared" si="5"/>
        <v>0</v>
      </c>
      <c r="G43" s="46">
        <f t="shared" si="5"/>
        <v>0</v>
      </c>
      <c r="H43" s="46">
        <f t="shared" si="5"/>
        <v>0</v>
      </c>
      <c r="I43" s="46">
        <f t="shared" si="5"/>
        <v>0</v>
      </c>
      <c r="J43" s="46">
        <f t="shared" si="5"/>
        <v>0</v>
      </c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63">
        <f t="shared" si="3"/>
        <v>0</v>
      </c>
    </row>
    <row r="44" spans="1:38" x14ac:dyDescent="0.3">
      <c r="A44">
        <v>41</v>
      </c>
      <c r="B44" s="50">
        <f t="shared" si="1"/>
        <v>1180</v>
      </c>
      <c r="C44" s="46">
        <f>SUM(D44:J44)</f>
        <v>0</v>
      </c>
      <c r="D44" s="46">
        <f t="shared" si="5"/>
        <v>0</v>
      </c>
      <c r="E44" s="46">
        <f t="shared" si="5"/>
        <v>0</v>
      </c>
      <c r="F44" s="46">
        <f t="shared" si="5"/>
        <v>0</v>
      </c>
      <c r="G44" s="46">
        <f t="shared" si="5"/>
        <v>0</v>
      </c>
      <c r="H44" s="46">
        <f>H43-O44</f>
        <v>0</v>
      </c>
      <c r="I44" s="46">
        <f t="shared" si="5"/>
        <v>0</v>
      </c>
      <c r="J44" s="46">
        <f t="shared" si="5"/>
        <v>0</v>
      </c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63">
        <f t="shared" si="3"/>
        <v>0</v>
      </c>
    </row>
    <row r="45" spans="1:38" x14ac:dyDescent="0.3">
      <c r="Q45" s="40" t="s">
        <v>86</v>
      </c>
      <c r="V45" s="64">
        <f>AVERAGE(V4:V33)</f>
        <v>0</v>
      </c>
      <c r="AE45" t="s">
        <v>87</v>
      </c>
    </row>
    <row r="46" spans="1:38" x14ac:dyDescent="0.3">
      <c r="Q46" s="40" t="s">
        <v>88</v>
      </c>
      <c r="V46" s="4">
        <f>AVERAGE(V4:V43)</f>
        <v>0</v>
      </c>
      <c r="AE46" t="s">
        <v>87</v>
      </c>
    </row>
    <row r="47" spans="1:38" x14ac:dyDescent="0.3">
      <c r="Q47" s="40"/>
    </row>
    <row r="48" spans="1:38" x14ac:dyDescent="0.3">
      <c r="Q48" s="40" t="s">
        <v>89</v>
      </c>
      <c r="V48" s="15">
        <f>SUM(V4:V43)</f>
        <v>0</v>
      </c>
      <c r="AE48" t="s">
        <v>90</v>
      </c>
    </row>
    <row r="49" spans="17:32" x14ac:dyDescent="0.3">
      <c r="Q49" s="40" t="s">
        <v>91</v>
      </c>
      <c r="V49">
        <f>C3</f>
        <v>0</v>
      </c>
      <c r="AE49" t="s">
        <v>90</v>
      </c>
    </row>
    <row r="50" spans="17:32" x14ac:dyDescent="0.3">
      <c r="Q50" s="40" t="s">
        <v>92</v>
      </c>
      <c r="V50">
        <v>2910</v>
      </c>
      <c r="AE50" t="s">
        <v>90</v>
      </c>
    </row>
    <row r="51" spans="17:32" x14ac:dyDescent="0.3">
      <c r="Q51" s="40" t="s">
        <v>93</v>
      </c>
      <c r="V51" s="4">
        <f>C44</f>
        <v>0</v>
      </c>
      <c r="AE51" t="s">
        <v>90</v>
      </c>
      <c r="AF51" s="28">
        <f>V49+V50</f>
        <v>2910</v>
      </c>
    </row>
    <row r="52" spans="17:32" x14ac:dyDescent="0.3">
      <c r="Q52" s="40"/>
      <c r="AF52" s="38">
        <f>AF51-V48</f>
        <v>2910</v>
      </c>
    </row>
    <row r="53" spans="17:32" x14ac:dyDescent="0.3">
      <c r="Q53" s="40" t="s">
        <v>94</v>
      </c>
      <c r="V53" s="15">
        <v>3</v>
      </c>
      <c r="AE53" t="s">
        <v>95</v>
      </c>
    </row>
  </sheetData>
  <mergeCells count="1">
    <mergeCell ref="AL5:AT6"/>
  </mergeCells>
  <pageMargins left="0.75" right="0.75" top="1" bottom="1" header="0.5" footer="0.5"/>
  <headerFooter>
    <oddHeader>&amp;C&amp;"Calibri"&amp;8&amp;K000000 For Internal Use - For Internal Distribution Only&amp;1#_x000D_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99D6-1627-4776-AB18-DE514E7B6FCE}">
  <dimension ref="A1:J31"/>
  <sheetViews>
    <sheetView workbookViewId="0">
      <selection activeCell="I5" sqref="I5"/>
    </sheetView>
  </sheetViews>
  <sheetFormatPr defaultRowHeight="14.4" x14ac:dyDescent="0.3"/>
  <cols>
    <col min="1" max="1" width="16.44140625" customWidth="1"/>
    <col min="2" max="3" width="18.109375" bestFit="1" customWidth="1"/>
    <col min="4" max="4" width="20" bestFit="1" customWidth="1"/>
    <col min="5" max="5" width="21.6640625" bestFit="1" customWidth="1"/>
    <col min="6" max="6" width="15.6640625" customWidth="1"/>
    <col min="7" max="7" width="17.5546875" customWidth="1"/>
    <col min="8" max="8" width="18.109375" bestFit="1" customWidth="1"/>
    <col min="9" max="9" width="16.5546875" bestFit="1" customWidth="1"/>
    <col min="10" max="10" width="20.44140625" customWidth="1"/>
  </cols>
  <sheetData>
    <row r="1" spans="1:10" x14ac:dyDescent="0.3">
      <c r="C1" s="133" t="s">
        <v>186</v>
      </c>
      <c r="D1" s="133"/>
      <c r="E1" s="133"/>
      <c r="F1" s="133"/>
      <c r="G1" s="133"/>
      <c r="H1" s="133"/>
      <c r="I1" s="133"/>
    </row>
    <row r="2" spans="1:10" x14ac:dyDescent="0.3">
      <c r="A2" s="135" t="s">
        <v>211</v>
      </c>
      <c r="B2" s="101" t="s">
        <v>188</v>
      </c>
      <c r="C2" s="101" t="s">
        <v>187</v>
      </c>
      <c r="D2" s="101" t="s">
        <v>184</v>
      </c>
      <c r="E2" s="101" t="s">
        <v>200</v>
      </c>
      <c r="F2" s="101" t="s">
        <v>0</v>
      </c>
      <c r="G2" s="101" t="s">
        <v>203</v>
      </c>
      <c r="H2" s="101" t="s">
        <v>185</v>
      </c>
      <c r="I2" s="101" t="s">
        <v>189</v>
      </c>
    </row>
    <row r="3" spans="1:10" x14ac:dyDescent="0.3">
      <c r="A3" s="136"/>
      <c r="B3" s="102" t="s">
        <v>204</v>
      </c>
      <c r="C3" s="102" t="s">
        <v>204</v>
      </c>
      <c r="D3" s="102" t="s">
        <v>205</v>
      </c>
      <c r="E3" s="102" t="s">
        <v>206</v>
      </c>
      <c r="F3" s="102" t="s">
        <v>207</v>
      </c>
      <c r="G3" s="102" t="s">
        <v>206</v>
      </c>
      <c r="H3" s="102" t="s">
        <v>206</v>
      </c>
      <c r="I3" s="102"/>
    </row>
    <row r="4" spans="1:10" x14ac:dyDescent="0.3">
      <c r="A4" s="27" t="s">
        <v>210</v>
      </c>
      <c r="B4" s="95">
        <f>Template!V47</f>
        <v>0</v>
      </c>
      <c r="C4" s="95">
        <f>Template!V48</f>
        <v>0</v>
      </c>
      <c r="D4" s="100"/>
      <c r="E4" s="96">
        <f>IF(D4&gt;5,(D4-5)*600,0)</f>
        <v>0</v>
      </c>
      <c r="F4" s="111">
        <f>Template!V55</f>
        <v>0</v>
      </c>
      <c r="G4" s="96">
        <f>F4*40</f>
        <v>0</v>
      </c>
      <c r="H4" s="104">
        <f>Template!W45</f>
        <v>0</v>
      </c>
      <c r="I4" s="104">
        <f>H4-E4-G4</f>
        <v>0</v>
      </c>
      <c r="J4" s="25" t="s">
        <v>215</v>
      </c>
    </row>
    <row r="5" spans="1:10" x14ac:dyDescent="0.3">
      <c r="A5" s="27" t="s">
        <v>1</v>
      </c>
      <c r="B5" s="95">
        <f>'Base Case (Working)'!V47</f>
        <v>93.86666666666666</v>
      </c>
      <c r="C5" s="95">
        <f>'Base Case (Working)'!V48</f>
        <v>92.875</v>
      </c>
      <c r="D5" s="100">
        <v>6</v>
      </c>
      <c r="E5" s="96">
        <f t="shared" ref="E5:E11" si="0">IF(D5&gt;5,(D5-5)*600,0)</f>
        <v>600</v>
      </c>
      <c r="F5" s="111">
        <f>'Base Case (Working)'!V55</f>
        <v>3</v>
      </c>
      <c r="G5" s="96">
        <f>F5*40</f>
        <v>120</v>
      </c>
      <c r="H5" s="104">
        <f>'Base Case (Working)'!W45</f>
        <v>48296.19</v>
      </c>
      <c r="I5" s="104">
        <f>H5-E5-G5</f>
        <v>47576.19</v>
      </c>
      <c r="J5" s="137" t="s">
        <v>214</v>
      </c>
    </row>
    <row r="6" spans="1:10" x14ac:dyDescent="0.3">
      <c r="A6" s="27" t="s">
        <v>2</v>
      </c>
      <c r="B6" s="95">
        <f>'Scenario 2'!V45</f>
        <v>94.229382716049386</v>
      </c>
      <c r="C6" s="95">
        <f>'Scenario 2'!V46</f>
        <v>94.406233982489695</v>
      </c>
      <c r="D6" s="100">
        <v>6</v>
      </c>
      <c r="E6" s="96">
        <f t="shared" si="0"/>
        <v>600</v>
      </c>
      <c r="F6" s="96">
        <f>'Scenario 2'!V53</f>
        <v>1</v>
      </c>
      <c r="G6" s="96">
        <f t="shared" ref="G6:G11" si="1">F6*40</f>
        <v>40</v>
      </c>
      <c r="H6" s="104">
        <f>'Scenario 2'!W44</f>
        <v>48301.77100887875</v>
      </c>
      <c r="I6" s="104">
        <f t="shared" ref="I6:I11" si="2">H6-E6-G6</f>
        <v>47661.77100887875</v>
      </c>
      <c r="J6" s="137"/>
    </row>
    <row r="7" spans="1:10" x14ac:dyDescent="0.3">
      <c r="A7" s="27" t="s">
        <v>3</v>
      </c>
      <c r="B7" s="95">
        <f>'Scenario 3'!X45</f>
        <v>93.310730593607303</v>
      </c>
      <c r="C7" s="95">
        <f>'Scenario 3'!X46</f>
        <v>89.460000000000008</v>
      </c>
      <c r="D7" s="100">
        <v>6</v>
      </c>
      <c r="E7" s="96">
        <f t="shared" si="0"/>
        <v>600</v>
      </c>
      <c r="F7" s="111">
        <f>'Scenario 3'!X53</f>
        <v>10</v>
      </c>
      <c r="G7" s="96">
        <f t="shared" si="1"/>
        <v>400</v>
      </c>
      <c r="H7" s="104">
        <f>'Scenario 3'!Y44</f>
        <v>31138.906000000006</v>
      </c>
      <c r="I7" s="104">
        <f t="shared" si="2"/>
        <v>30138.906000000006</v>
      </c>
      <c r="J7" s="137"/>
    </row>
    <row r="8" spans="1:10" x14ac:dyDescent="0.3">
      <c r="A8" s="27" t="s">
        <v>4</v>
      </c>
      <c r="B8" s="95">
        <f>'Scenario 4'!V45</f>
        <v>90.233355707762556</v>
      </c>
      <c r="C8" s="95">
        <f>'Scenario 4'!V46</f>
        <v>91.600016780821917</v>
      </c>
      <c r="D8" s="100">
        <v>6</v>
      </c>
      <c r="E8" s="96">
        <f t="shared" si="0"/>
        <v>600</v>
      </c>
      <c r="F8" s="96">
        <f>'Scenario 4'!V54</f>
        <v>3</v>
      </c>
      <c r="G8" s="96">
        <f t="shared" si="1"/>
        <v>120</v>
      </c>
      <c r="H8" s="104">
        <f>'Scenario 4'!W44</f>
        <v>48187.418027671229</v>
      </c>
      <c r="I8" s="104">
        <f t="shared" si="2"/>
        <v>47467.418027671229</v>
      </c>
      <c r="J8" s="137"/>
    </row>
    <row r="9" spans="1:10" x14ac:dyDescent="0.3">
      <c r="A9" s="27" t="s">
        <v>5</v>
      </c>
      <c r="B9" s="95">
        <f>'Scenario 5a'!V45</f>
        <v>85.759931506849327</v>
      </c>
      <c r="C9" s="95">
        <f>'Scenario 5a'!V46</f>
        <v>88.077825342465758</v>
      </c>
      <c r="D9" s="100">
        <v>6</v>
      </c>
      <c r="E9" s="96">
        <f t="shared" si="0"/>
        <v>600</v>
      </c>
      <c r="F9" s="96">
        <f>'Scenario 5a'!V54</f>
        <v>10</v>
      </c>
      <c r="G9" s="96">
        <f t="shared" si="1"/>
        <v>400</v>
      </c>
      <c r="H9" s="104">
        <f>'Scenario 5a'!W44</f>
        <v>46835.400883561641</v>
      </c>
      <c r="I9" s="104">
        <f t="shared" si="2"/>
        <v>45835.400883561641</v>
      </c>
      <c r="J9" s="137"/>
    </row>
    <row r="10" spans="1:10" x14ac:dyDescent="0.3">
      <c r="A10" s="27" t="s">
        <v>6</v>
      </c>
      <c r="B10" s="95">
        <f>'Scenario 5b'!V45</f>
        <v>88.371993911719954</v>
      </c>
      <c r="C10" s="95">
        <f>'Scenario 5b'!V46</f>
        <v>90.058407534246584</v>
      </c>
      <c r="D10" s="100">
        <v>6</v>
      </c>
      <c r="E10" s="96">
        <f t="shared" si="0"/>
        <v>600</v>
      </c>
      <c r="F10" s="96">
        <f>'Scenario 5b'!V54</f>
        <v>12</v>
      </c>
      <c r="G10" s="96">
        <f t="shared" si="1"/>
        <v>480</v>
      </c>
      <c r="H10" s="104">
        <f>'Scenario 5b'!W44</f>
        <v>48171.737312328776</v>
      </c>
      <c r="I10" s="104">
        <f t="shared" si="2"/>
        <v>47091.737312328776</v>
      </c>
      <c r="J10" s="137"/>
    </row>
    <row r="11" spans="1:10" x14ac:dyDescent="0.3">
      <c r="A11" s="27" t="s">
        <v>7</v>
      </c>
      <c r="B11" s="95">
        <f>'Scenario 5c'!V45</f>
        <v>95.233355707762556</v>
      </c>
      <c r="C11" s="95">
        <f>'Scenario 5c'!V46</f>
        <v>95.225017465753425</v>
      </c>
      <c r="D11" s="100">
        <v>6</v>
      </c>
      <c r="E11" s="96">
        <f t="shared" si="0"/>
        <v>600</v>
      </c>
      <c r="F11" s="96">
        <f>'Scenario 5c'!V54</f>
        <v>9</v>
      </c>
      <c r="G11" s="96">
        <f t="shared" si="1"/>
        <v>360</v>
      </c>
      <c r="H11" s="104">
        <f>'Scenario 5c'!W44</f>
        <v>50107.54856169453</v>
      </c>
      <c r="I11" s="104">
        <f t="shared" si="2"/>
        <v>49147.54856169453</v>
      </c>
      <c r="J11" s="137"/>
    </row>
    <row r="15" spans="1:10" x14ac:dyDescent="0.3">
      <c r="A15" s="28" t="s">
        <v>190</v>
      </c>
    </row>
    <row r="16" spans="1:10" x14ac:dyDescent="0.3">
      <c r="A16" s="98"/>
      <c r="B16" s="126" t="s">
        <v>212</v>
      </c>
    </row>
    <row r="17" spans="1:3" x14ac:dyDescent="0.3">
      <c r="A17" s="99"/>
      <c r="B17" s="127" t="s">
        <v>213</v>
      </c>
    </row>
    <row r="18" spans="1:3" x14ac:dyDescent="0.3">
      <c r="B18" s="134" t="s">
        <v>191</v>
      </c>
      <c r="C18" s="134"/>
    </row>
    <row r="19" spans="1:3" x14ac:dyDescent="0.3">
      <c r="B19" s="125" t="s">
        <v>192</v>
      </c>
      <c r="C19" s="125" t="s">
        <v>193</v>
      </c>
    </row>
    <row r="20" spans="1:3" x14ac:dyDescent="0.3">
      <c r="A20" t="s">
        <v>9</v>
      </c>
      <c r="B20" s="120" t="s">
        <v>60</v>
      </c>
      <c r="C20" s="121">
        <v>15.85</v>
      </c>
    </row>
    <row r="21" spans="1:3" x14ac:dyDescent="0.3">
      <c r="A21" t="s">
        <v>10</v>
      </c>
      <c r="B21" s="120" t="s">
        <v>62</v>
      </c>
      <c r="C21" s="121">
        <v>18.47</v>
      </c>
    </row>
    <row r="22" spans="1:3" x14ac:dyDescent="0.3">
      <c r="A22" t="s">
        <v>11</v>
      </c>
      <c r="B22" s="120" t="s">
        <v>59</v>
      </c>
      <c r="C22" s="121">
        <v>15.71</v>
      </c>
    </row>
    <row r="23" spans="1:3" x14ac:dyDescent="0.3">
      <c r="A23" t="s">
        <v>12</v>
      </c>
      <c r="B23" s="120" t="s">
        <v>53</v>
      </c>
      <c r="C23" s="121">
        <v>19.239999999999998</v>
      </c>
    </row>
    <row r="24" spans="1:3" x14ac:dyDescent="0.3">
      <c r="A24" t="s">
        <v>194</v>
      </c>
      <c r="B24" s="120" t="s">
        <v>54</v>
      </c>
      <c r="C24" s="121">
        <v>11.19</v>
      </c>
    </row>
    <row r="25" spans="1:3" x14ac:dyDescent="0.3">
      <c r="A25" t="s">
        <v>195</v>
      </c>
      <c r="B25" s="120" t="s">
        <v>75</v>
      </c>
      <c r="C25" s="121">
        <v>9.98</v>
      </c>
    </row>
    <row r="26" spans="1:3" x14ac:dyDescent="0.3">
      <c r="A26" t="s">
        <v>15</v>
      </c>
      <c r="B26" s="122" t="s">
        <v>155</v>
      </c>
      <c r="C26" s="123">
        <v>9.9700000000000006</v>
      </c>
    </row>
    <row r="27" spans="1:3" x14ac:dyDescent="0.3">
      <c r="A27" t="s">
        <v>196</v>
      </c>
      <c r="B27" s="124" t="s">
        <v>197</v>
      </c>
      <c r="C27" s="27"/>
    </row>
    <row r="28" spans="1:3" x14ac:dyDescent="0.3">
      <c r="A28" t="s">
        <v>120</v>
      </c>
      <c r="B28" s="124" t="s">
        <v>198</v>
      </c>
      <c r="C28" s="27"/>
    </row>
    <row r="30" spans="1:3" x14ac:dyDescent="0.3">
      <c r="A30" t="s">
        <v>199</v>
      </c>
    </row>
    <row r="31" spans="1:3" x14ac:dyDescent="0.3">
      <c r="A31" t="s">
        <v>202</v>
      </c>
      <c r="B31" t="s">
        <v>201</v>
      </c>
    </row>
  </sheetData>
  <mergeCells count="4">
    <mergeCell ref="C1:I1"/>
    <mergeCell ref="B18:C18"/>
    <mergeCell ref="A2:A3"/>
    <mergeCell ref="J5:J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0818-47AF-4321-B9E1-B0691176D3DF}">
  <dimension ref="A1:AM5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K50" sqref="K50"/>
    </sheetView>
  </sheetViews>
  <sheetFormatPr defaultRowHeight="14.4" x14ac:dyDescent="0.3"/>
  <cols>
    <col min="1" max="1" width="7.33203125" customWidth="1"/>
    <col min="2" max="2" width="10.88671875" customWidth="1"/>
    <col min="3" max="3" width="12.33203125" customWidth="1"/>
    <col min="4" max="10" width="10.6640625" customWidth="1"/>
    <col min="11" max="11" width="10.44140625" customWidth="1"/>
    <col min="12" max="17" width="7.5546875" customWidth="1"/>
    <col min="18" max="18" width="14.33203125" hidden="1" customWidth="1"/>
    <col min="19" max="19" width="16.33203125" hidden="1" customWidth="1"/>
    <col min="20" max="20" width="12.6640625" hidden="1" customWidth="1"/>
    <col min="21" max="21" width="14.88671875" hidden="1" customWidth="1"/>
    <col min="22" max="22" width="12" customWidth="1"/>
    <col min="23" max="23" width="12.88671875" customWidth="1"/>
    <col min="24" max="26" width="15.6640625" hidden="1" customWidth="1"/>
    <col min="27" max="27" width="8.6640625" hidden="1" customWidth="1"/>
    <col min="28" max="31" width="9.109375" hidden="1" customWidth="1"/>
    <col min="32" max="33" width="16.5546875" style="28" customWidth="1"/>
    <col min="34" max="34" width="13.44140625" style="28" customWidth="1"/>
    <col min="35" max="35" width="13.88671875" style="28" customWidth="1"/>
    <col min="36" max="36" width="16.5546875" style="28" customWidth="1"/>
    <col min="37" max="37" width="23.88671875" style="28" customWidth="1"/>
    <col min="38" max="38" width="16.5546875" style="28" customWidth="1"/>
  </cols>
  <sheetData>
    <row r="1" spans="1:39" x14ac:dyDescent="0.3">
      <c r="B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Q1" s="105"/>
    </row>
    <row r="2" spans="1:39" ht="30" customHeight="1" x14ac:dyDescent="0.3">
      <c r="A2" s="1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31</v>
      </c>
      <c r="Q2" s="7" t="s">
        <v>32</v>
      </c>
      <c r="R2" s="7" t="s">
        <v>33</v>
      </c>
      <c r="S2" s="7" t="s">
        <v>34</v>
      </c>
      <c r="T2" s="7" t="s">
        <v>35</v>
      </c>
      <c r="U2" s="7" t="s">
        <v>36</v>
      </c>
      <c r="V2" s="7" t="s">
        <v>37</v>
      </c>
      <c r="W2" s="7" t="s">
        <v>209</v>
      </c>
      <c r="X2" s="1" t="s">
        <v>38</v>
      </c>
      <c r="Y2" s="1" t="s">
        <v>39</v>
      </c>
      <c r="Z2" s="1" t="s">
        <v>40</v>
      </c>
      <c r="AA2" s="2" t="s">
        <v>41</v>
      </c>
      <c r="AB2" s="2" t="s">
        <v>42</v>
      </c>
      <c r="AC2" s="2" t="s">
        <v>43</v>
      </c>
      <c r="AD2" s="2" t="s">
        <v>44</v>
      </c>
      <c r="AE2" s="2" t="s">
        <v>45</v>
      </c>
      <c r="AF2" s="7" t="s">
        <v>46</v>
      </c>
      <c r="AG2" s="7" t="s">
        <v>47</v>
      </c>
      <c r="AH2" s="7" t="s">
        <v>48</v>
      </c>
      <c r="AI2" s="7" t="s">
        <v>49</v>
      </c>
      <c r="AJ2" s="7" t="s">
        <v>50</v>
      </c>
      <c r="AK2" s="1" t="s">
        <v>51</v>
      </c>
      <c r="AL2" s="1" t="s">
        <v>52</v>
      </c>
    </row>
    <row r="3" spans="1:39" x14ac:dyDescent="0.3">
      <c r="A3" s="76">
        <v>0</v>
      </c>
      <c r="B3" s="77">
        <f>1180-C3</f>
        <v>130</v>
      </c>
      <c r="C3" s="78">
        <f>SUM(D3:J3)</f>
        <v>1050</v>
      </c>
      <c r="D3" s="78">
        <v>350</v>
      </c>
      <c r="E3" s="78">
        <v>0</v>
      </c>
      <c r="F3" s="78">
        <v>150</v>
      </c>
      <c r="G3" s="78">
        <v>150</v>
      </c>
      <c r="H3" s="78">
        <v>100</v>
      </c>
      <c r="I3" s="78">
        <v>0</v>
      </c>
      <c r="J3" s="78">
        <v>300</v>
      </c>
      <c r="K3" s="78">
        <v>0</v>
      </c>
      <c r="L3" s="78">
        <v>0</v>
      </c>
      <c r="M3" s="78">
        <v>0</v>
      </c>
      <c r="N3" s="78">
        <v>0</v>
      </c>
      <c r="O3" s="78">
        <v>0</v>
      </c>
      <c r="P3" s="78">
        <v>0</v>
      </c>
      <c r="Q3" s="78">
        <v>0</v>
      </c>
      <c r="R3" s="78"/>
      <c r="S3" s="78"/>
      <c r="T3" s="78"/>
      <c r="U3" s="78"/>
      <c r="V3" s="78">
        <v>0</v>
      </c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54"/>
      <c r="AM3" s="29"/>
    </row>
    <row r="4" spans="1:39" ht="13.95" customHeight="1" x14ac:dyDescent="0.3">
      <c r="A4">
        <v>1</v>
      </c>
      <c r="B4" s="110">
        <f>1180-C4</f>
        <v>130</v>
      </c>
      <c r="C4" s="103">
        <f>SUM(D4:J4)</f>
        <v>1050</v>
      </c>
      <c r="D4" s="103">
        <f t="shared" ref="D4:J19" si="0">D3-K4</f>
        <v>350</v>
      </c>
      <c r="E4" s="103">
        <f t="shared" si="0"/>
        <v>0</v>
      </c>
      <c r="F4" s="103">
        <f t="shared" si="0"/>
        <v>150</v>
      </c>
      <c r="G4" s="103">
        <f t="shared" si="0"/>
        <v>150</v>
      </c>
      <c r="H4" s="103">
        <f t="shared" si="0"/>
        <v>100</v>
      </c>
      <c r="I4" s="103">
        <f t="shared" si="0"/>
        <v>0</v>
      </c>
      <c r="J4" s="103">
        <f t="shared" si="0"/>
        <v>300</v>
      </c>
      <c r="K4" s="119"/>
      <c r="L4" s="119"/>
      <c r="M4" s="119"/>
      <c r="N4" s="119"/>
      <c r="O4" s="119"/>
      <c r="P4" s="119"/>
      <c r="Q4" s="119"/>
      <c r="R4" s="46" t="s">
        <v>53</v>
      </c>
      <c r="S4" s="46" t="s">
        <v>54</v>
      </c>
      <c r="T4" s="46">
        <v>57.599999999999987</v>
      </c>
      <c r="U4" s="46">
        <v>38.4</v>
      </c>
      <c r="V4" s="107">
        <f>SUM(K4:Q4)</f>
        <v>0</v>
      </c>
      <c r="W4" s="106">
        <f>Summary!$C$20*K4+Summary!$C$21*L4+Summary!$C$22*M4+Summary!$C$23*N4+Summary!$C$24*O4+Summary!$C$25*P4+Summary!$C$26*Q4</f>
        <v>0</v>
      </c>
      <c r="X4" t="s">
        <v>55</v>
      </c>
      <c r="Y4">
        <v>96</v>
      </c>
      <c r="Z4">
        <v>96</v>
      </c>
      <c r="AF4" s="79"/>
      <c r="AG4" s="80"/>
      <c r="AH4" s="80"/>
      <c r="AI4" s="80"/>
      <c r="AJ4" s="80"/>
      <c r="AK4" s="80"/>
      <c r="AL4" s="30"/>
      <c r="AM4" s="29"/>
    </row>
    <row r="5" spans="1:39" x14ac:dyDescent="0.3">
      <c r="A5">
        <v>2</v>
      </c>
      <c r="B5" s="110">
        <f t="shared" ref="B5:B43" si="1">1180-C5</f>
        <v>130</v>
      </c>
      <c r="C5" s="103">
        <f t="shared" ref="C5:C43" si="2">SUM(D5:J5)</f>
        <v>1050</v>
      </c>
      <c r="D5" s="103">
        <f t="shared" si="0"/>
        <v>350</v>
      </c>
      <c r="E5" s="103">
        <f t="shared" si="0"/>
        <v>0</v>
      </c>
      <c r="F5" s="103">
        <f t="shared" si="0"/>
        <v>150</v>
      </c>
      <c r="G5" s="103">
        <f t="shared" si="0"/>
        <v>150</v>
      </c>
      <c r="H5" s="103">
        <f t="shared" si="0"/>
        <v>100</v>
      </c>
      <c r="I5" s="103">
        <f t="shared" si="0"/>
        <v>0</v>
      </c>
      <c r="J5" s="103">
        <f t="shared" si="0"/>
        <v>300</v>
      </c>
      <c r="K5" s="119"/>
      <c r="L5" s="119"/>
      <c r="M5" s="119"/>
      <c r="N5" s="119"/>
      <c r="O5" s="119"/>
      <c r="P5" s="119"/>
      <c r="Q5" s="119"/>
      <c r="R5" s="46" t="s">
        <v>53</v>
      </c>
      <c r="S5" s="46" t="s">
        <v>54</v>
      </c>
      <c r="T5" s="46">
        <v>57.599999999999987</v>
      </c>
      <c r="U5" s="46">
        <v>38.4</v>
      </c>
      <c r="V5" s="107">
        <f t="shared" ref="V5:V43" si="3">SUM(K5:Q5)</f>
        <v>0</v>
      </c>
      <c r="W5" s="106">
        <f>Summary!$C$20*K5+Summary!$C$21*L5+Summary!$C$22*M5+Summary!$C$23*N5+Summary!$C$24*O5+Summary!$C$25*P5+Summary!$C$26*Q5</f>
        <v>0</v>
      </c>
      <c r="X5" t="s">
        <v>55</v>
      </c>
      <c r="Y5">
        <v>96</v>
      </c>
      <c r="Z5">
        <v>96</v>
      </c>
      <c r="AF5" s="79"/>
      <c r="AG5" s="80"/>
      <c r="AH5" s="80"/>
      <c r="AI5" s="80"/>
      <c r="AJ5" s="80"/>
      <c r="AK5" s="80"/>
      <c r="AL5" s="30"/>
      <c r="AM5" s="29"/>
    </row>
    <row r="6" spans="1:39" x14ac:dyDescent="0.3">
      <c r="A6">
        <v>3</v>
      </c>
      <c r="B6" s="110">
        <f t="shared" si="1"/>
        <v>130</v>
      </c>
      <c r="C6" s="103">
        <f t="shared" si="2"/>
        <v>1050</v>
      </c>
      <c r="D6" s="103">
        <f t="shared" si="0"/>
        <v>350</v>
      </c>
      <c r="E6" s="103">
        <f t="shared" si="0"/>
        <v>0</v>
      </c>
      <c r="F6" s="103">
        <f t="shared" si="0"/>
        <v>150</v>
      </c>
      <c r="G6" s="103">
        <f t="shared" si="0"/>
        <v>150</v>
      </c>
      <c r="H6" s="103">
        <f t="shared" si="0"/>
        <v>100</v>
      </c>
      <c r="I6" s="103">
        <f t="shared" si="0"/>
        <v>0</v>
      </c>
      <c r="J6" s="103">
        <f t="shared" si="0"/>
        <v>300</v>
      </c>
      <c r="K6" s="119"/>
      <c r="L6" s="119"/>
      <c r="M6" s="119"/>
      <c r="N6" s="119"/>
      <c r="O6" s="119"/>
      <c r="P6" s="119"/>
      <c r="Q6" s="119"/>
      <c r="R6" s="46" t="s">
        <v>53</v>
      </c>
      <c r="S6" s="46" t="s">
        <v>54</v>
      </c>
      <c r="T6" s="46">
        <v>34.799999999999997</v>
      </c>
      <c r="U6" s="46">
        <v>23.2</v>
      </c>
      <c r="V6" s="107">
        <f t="shared" si="3"/>
        <v>0</v>
      </c>
      <c r="W6" s="106">
        <f>Summary!$C$20*K6+Summary!$C$21*L6+Summary!$C$22*M6+Summary!$C$23*N6+Summary!$C$24*O6+Summary!$C$25*P6+Summary!$C$26*Q6</f>
        <v>0</v>
      </c>
      <c r="X6" t="s">
        <v>55</v>
      </c>
      <c r="Y6">
        <v>58.000000000000007</v>
      </c>
      <c r="Z6">
        <v>96</v>
      </c>
      <c r="AF6" s="79"/>
      <c r="AG6" s="80"/>
      <c r="AH6" s="80"/>
      <c r="AI6" s="80"/>
      <c r="AJ6" s="80"/>
      <c r="AK6" s="80"/>
      <c r="AL6" s="30"/>
      <c r="AM6" s="29"/>
    </row>
    <row r="7" spans="1:39" x14ac:dyDescent="0.3">
      <c r="A7">
        <v>4</v>
      </c>
      <c r="B7" s="110">
        <f t="shared" si="1"/>
        <v>130</v>
      </c>
      <c r="C7" s="103">
        <f t="shared" si="2"/>
        <v>1050</v>
      </c>
      <c r="D7" s="103">
        <f t="shared" si="0"/>
        <v>350</v>
      </c>
      <c r="E7" s="103">
        <f t="shared" si="0"/>
        <v>0</v>
      </c>
      <c r="F7" s="103">
        <f t="shared" si="0"/>
        <v>150</v>
      </c>
      <c r="G7" s="103">
        <f t="shared" si="0"/>
        <v>150</v>
      </c>
      <c r="H7" s="103">
        <f t="shared" si="0"/>
        <v>100</v>
      </c>
      <c r="I7" s="103">
        <f t="shared" si="0"/>
        <v>0</v>
      </c>
      <c r="J7" s="103">
        <f t="shared" si="0"/>
        <v>300</v>
      </c>
      <c r="K7" s="119"/>
      <c r="L7" s="119"/>
      <c r="M7" s="119"/>
      <c r="N7" s="119"/>
      <c r="O7" s="119"/>
      <c r="P7" s="119"/>
      <c r="Q7" s="119"/>
      <c r="R7" s="46" t="s">
        <v>59</v>
      </c>
      <c r="S7" s="46" t="s">
        <v>60</v>
      </c>
      <c r="T7" s="46">
        <v>25.65</v>
      </c>
      <c r="U7" s="46">
        <v>69.349999999999994</v>
      </c>
      <c r="V7" s="107">
        <f t="shared" si="3"/>
        <v>0</v>
      </c>
      <c r="W7" s="106">
        <f>Summary!$C$20*K7+Summary!$C$21*L7+Summary!$C$22*M7+Summary!$C$23*N7+Summary!$C$24*O7+Summary!$C$25*P7+Summary!$C$26*Q7</f>
        <v>0</v>
      </c>
      <c r="X7" t="s">
        <v>61</v>
      </c>
      <c r="Y7">
        <v>95</v>
      </c>
      <c r="Z7">
        <v>95</v>
      </c>
      <c r="AF7" s="79"/>
      <c r="AG7" s="80"/>
      <c r="AH7" s="80"/>
      <c r="AI7" s="80"/>
      <c r="AJ7" s="80"/>
      <c r="AK7" s="80"/>
      <c r="AL7" s="30"/>
      <c r="AM7" s="29"/>
    </row>
    <row r="8" spans="1:39" ht="13.95" customHeight="1" x14ac:dyDescent="0.3">
      <c r="A8">
        <v>5</v>
      </c>
      <c r="B8" s="110">
        <f t="shared" si="1"/>
        <v>130</v>
      </c>
      <c r="C8" s="103">
        <f>SUM(D8:J8)</f>
        <v>1050</v>
      </c>
      <c r="D8" s="103">
        <f t="shared" si="0"/>
        <v>350</v>
      </c>
      <c r="E8" s="103">
        <f t="shared" si="0"/>
        <v>0</v>
      </c>
      <c r="F8" s="103">
        <f t="shared" si="0"/>
        <v>150</v>
      </c>
      <c r="G8" s="103">
        <f t="shared" si="0"/>
        <v>150</v>
      </c>
      <c r="H8" s="103">
        <f t="shared" si="0"/>
        <v>100</v>
      </c>
      <c r="I8" s="103">
        <f t="shared" si="0"/>
        <v>0</v>
      </c>
      <c r="J8" s="103">
        <f t="shared" si="0"/>
        <v>300</v>
      </c>
      <c r="K8" s="119"/>
      <c r="L8" s="119"/>
      <c r="M8" s="119"/>
      <c r="N8" s="119"/>
      <c r="O8" s="119"/>
      <c r="P8" s="119"/>
      <c r="Q8" s="119"/>
      <c r="R8" s="46" t="s">
        <v>62</v>
      </c>
      <c r="S8" s="46" t="s">
        <v>60</v>
      </c>
      <c r="T8" s="46">
        <v>25.92</v>
      </c>
      <c r="U8" s="46">
        <v>70.08</v>
      </c>
      <c r="V8" s="107">
        <f t="shared" si="3"/>
        <v>0</v>
      </c>
      <c r="W8" s="106">
        <f>Summary!$C$20*K8+Summary!$C$21*L8+Summary!$C$22*M8+Summary!$C$23*N8+Summary!$C$24*O8+Summary!$C$25*P8+Summary!$C$26*Q8</f>
        <v>0</v>
      </c>
      <c r="X8" t="s">
        <v>61</v>
      </c>
      <c r="Y8">
        <v>96</v>
      </c>
      <c r="Z8">
        <v>96</v>
      </c>
      <c r="AF8" s="79"/>
      <c r="AG8" s="80"/>
      <c r="AH8" s="80"/>
      <c r="AI8" s="80"/>
      <c r="AJ8" s="80"/>
      <c r="AK8" s="80"/>
      <c r="AL8" s="30"/>
      <c r="AM8" s="29"/>
    </row>
    <row r="9" spans="1:39" x14ac:dyDescent="0.3">
      <c r="A9">
        <v>6</v>
      </c>
      <c r="B9" s="110">
        <f t="shared" si="1"/>
        <v>-420</v>
      </c>
      <c r="C9" s="103">
        <f>SUM(D9:J9)</f>
        <v>1600</v>
      </c>
      <c r="D9" s="103">
        <f>D8-K9+400</f>
        <v>750</v>
      </c>
      <c r="E9" s="103">
        <f>E8-L9+150</f>
        <v>150</v>
      </c>
      <c r="F9" s="103">
        <f t="shared" si="0"/>
        <v>150</v>
      </c>
      <c r="G9" s="103">
        <f t="shared" si="0"/>
        <v>150</v>
      </c>
      <c r="H9" s="103">
        <f t="shared" si="0"/>
        <v>100</v>
      </c>
      <c r="I9" s="103">
        <f t="shared" si="0"/>
        <v>0</v>
      </c>
      <c r="J9" s="103">
        <f t="shared" si="0"/>
        <v>300</v>
      </c>
      <c r="K9" s="119"/>
      <c r="L9" s="119"/>
      <c r="M9" s="119"/>
      <c r="N9" s="119"/>
      <c r="O9" s="119"/>
      <c r="P9" s="119"/>
      <c r="Q9" s="119"/>
      <c r="R9" s="46" t="s">
        <v>62</v>
      </c>
      <c r="S9" s="46" t="s">
        <v>60</v>
      </c>
      <c r="T9" s="46">
        <v>25.92</v>
      </c>
      <c r="U9" s="46">
        <v>70.08</v>
      </c>
      <c r="V9" s="107">
        <f t="shared" si="3"/>
        <v>0</v>
      </c>
      <c r="W9" s="106">
        <f>Summary!$C$20*K9+Summary!$C$21*L9+Summary!$C$22*M9+Summary!$C$23*N9+Summary!$C$24*O9+Summary!$C$25*P9+Summary!$C$26*Q9</f>
        <v>0</v>
      </c>
      <c r="X9" t="s">
        <v>61</v>
      </c>
      <c r="Y9">
        <v>96</v>
      </c>
      <c r="Z9">
        <v>96</v>
      </c>
      <c r="AF9" s="79"/>
      <c r="AG9" s="80"/>
      <c r="AH9" s="80"/>
      <c r="AI9" s="80"/>
      <c r="AJ9" s="80"/>
      <c r="AK9" s="80"/>
      <c r="AL9" s="30"/>
      <c r="AM9" s="29"/>
    </row>
    <row r="10" spans="1:39" x14ac:dyDescent="0.3">
      <c r="A10">
        <v>7</v>
      </c>
      <c r="B10" s="110">
        <f t="shared" si="1"/>
        <v>-420</v>
      </c>
      <c r="C10" s="103">
        <f>SUM(D10:J10)</f>
        <v>1600</v>
      </c>
      <c r="D10" s="103">
        <f t="shared" si="0"/>
        <v>750</v>
      </c>
      <c r="E10" s="103">
        <f t="shared" si="0"/>
        <v>150</v>
      </c>
      <c r="F10" s="103">
        <f t="shared" si="0"/>
        <v>150</v>
      </c>
      <c r="G10" s="103">
        <f t="shared" si="0"/>
        <v>150</v>
      </c>
      <c r="H10" s="103">
        <f t="shared" si="0"/>
        <v>100</v>
      </c>
      <c r="I10" s="103">
        <f t="shared" si="0"/>
        <v>0</v>
      </c>
      <c r="J10" s="103">
        <f t="shared" si="0"/>
        <v>300</v>
      </c>
      <c r="K10" s="119"/>
      <c r="L10" s="119"/>
      <c r="M10" s="119"/>
      <c r="N10" s="119"/>
      <c r="O10" s="119"/>
      <c r="P10" s="119"/>
      <c r="Q10" s="119"/>
      <c r="R10" s="46" t="s">
        <v>62</v>
      </c>
      <c r="S10" s="46" t="s">
        <v>60</v>
      </c>
      <c r="T10" s="46">
        <v>25.92</v>
      </c>
      <c r="U10" s="46">
        <v>70.08</v>
      </c>
      <c r="V10" s="107">
        <f t="shared" si="3"/>
        <v>0</v>
      </c>
      <c r="W10" s="106">
        <f>Summary!$C$20*K10+Summary!$C$21*L10+Summary!$C$22*M10+Summary!$C$23*N10+Summary!$C$24*O10+Summary!$C$25*P10+Summary!$C$26*Q10</f>
        <v>0</v>
      </c>
      <c r="X10" t="s">
        <v>61</v>
      </c>
      <c r="Y10">
        <v>96</v>
      </c>
      <c r="Z10">
        <v>96</v>
      </c>
      <c r="AF10" s="79"/>
      <c r="AG10" s="80"/>
      <c r="AH10" s="80"/>
      <c r="AI10" s="80"/>
      <c r="AJ10" s="80"/>
      <c r="AK10" s="80"/>
      <c r="AL10" s="30"/>
      <c r="AM10" s="29"/>
    </row>
    <row r="11" spans="1:39" x14ac:dyDescent="0.3">
      <c r="A11">
        <v>8</v>
      </c>
      <c r="B11" s="110">
        <f t="shared" si="1"/>
        <v>-420</v>
      </c>
      <c r="C11" s="103">
        <f t="shared" si="2"/>
        <v>1600</v>
      </c>
      <c r="D11" s="103">
        <f t="shared" si="0"/>
        <v>750</v>
      </c>
      <c r="E11" s="103">
        <f t="shared" si="0"/>
        <v>150</v>
      </c>
      <c r="F11" s="103">
        <f t="shared" si="0"/>
        <v>150</v>
      </c>
      <c r="G11" s="103">
        <f t="shared" si="0"/>
        <v>150</v>
      </c>
      <c r="H11" s="103">
        <f t="shared" si="0"/>
        <v>100</v>
      </c>
      <c r="I11" s="103">
        <f t="shared" si="0"/>
        <v>0</v>
      </c>
      <c r="J11" s="103">
        <f t="shared" si="0"/>
        <v>300</v>
      </c>
      <c r="K11" s="119"/>
      <c r="L11" s="119"/>
      <c r="M11" s="119"/>
      <c r="N11" s="119"/>
      <c r="O11" s="119"/>
      <c r="P11" s="119"/>
      <c r="Q11" s="119"/>
      <c r="R11" s="46" t="s">
        <v>62</v>
      </c>
      <c r="S11" s="46" t="s">
        <v>60</v>
      </c>
      <c r="T11" s="46">
        <v>25.92</v>
      </c>
      <c r="U11" s="46">
        <v>70.08</v>
      </c>
      <c r="V11" s="107">
        <f t="shared" si="3"/>
        <v>0</v>
      </c>
      <c r="W11" s="106">
        <f>Summary!$C$20*K11+Summary!$C$21*L11+Summary!$C$22*M11+Summary!$C$23*N11+Summary!$C$24*O11+Summary!$C$25*P11+Summary!$C$26*Q11</f>
        <v>0</v>
      </c>
      <c r="X11" t="s">
        <v>61</v>
      </c>
      <c r="Y11">
        <v>96</v>
      </c>
      <c r="Z11">
        <v>96</v>
      </c>
      <c r="AF11" s="79"/>
      <c r="AG11" s="80"/>
      <c r="AH11" s="81"/>
      <c r="AI11" s="80"/>
      <c r="AJ11" s="80"/>
      <c r="AK11" s="80"/>
      <c r="AM11" s="29"/>
    </row>
    <row r="12" spans="1:39" ht="15" customHeight="1" x14ac:dyDescent="0.3">
      <c r="A12">
        <v>9</v>
      </c>
      <c r="B12" s="110">
        <f t="shared" si="1"/>
        <v>-420</v>
      </c>
      <c r="C12" s="103">
        <f t="shared" si="2"/>
        <v>1600</v>
      </c>
      <c r="D12" s="103">
        <f t="shared" si="0"/>
        <v>750</v>
      </c>
      <c r="E12" s="103">
        <f t="shared" si="0"/>
        <v>150</v>
      </c>
      <c r="F12" s="103">
        <f t="shared" si="0"/>
        <v>150</v>
      </c>
      <c r="G12" s="103">
        <f t="shared" si="0"/>
        <v>150</v>
      </c>
      <c r="H12" s="103">
        <f t="shared" si="0"/>
        <v>100</v>
      </c>
      <c r="I12" s="103">
        <f t="shared" si="0"/>
        <v>0</v>
      </c>
      <c r="J12" s="103">
        <f t="shared" si="0"/>
        <v>300</v>
      </c>
      <c r="K12" s="119"/>
      <c r="L12" s="119"/>
      <c r="M12" s="119"/>
      <c r="N12" s="119"/>
      <c r="O12" s="119"/>
      <c r="P12" s="119"/>
      <c r="Q12" s="119"/>
      <c r="R12" s="46" t="s">
        <v>62</v>
      </c>
      <c r="S12" s="46" t="s">
        <v>60</v>
      </c>
      <c r="T12" s="46">
        <v>25.92</v>
      </c>
      <c r="U12" s="46">
        <v>70.08</v>
      </c>
      <c r="V12" s="107">
        <f>SUM(K12:Q12)</f>
        <v>0</v>
      </c>
      <c r="W12" s="106">
        <f>Summary!$C$20*K12+Summary!$C$21*L12+Summary!$C$22*M12+Summary!$C$23*N12+Summary!$C$24*O12+Summary!$C$25*P12+Summary!$C$26*Q12</f>
        <v>0</v>
      </c>
      <c r="X12" t="s">
        <v>61</v>
      </c>
      <c r="Y12">
        <v>96</v>
      </c>
      <c r="Z12">
        <v>96</v>
      </c>
      <c r="AF12" s="79"/>
      <c r="AG12" s="80"/>
      <c r="AH12" s="81"/>
      <c r="AI12" s="80"/>
      <c r="AJ12" s="80"/>
      <c r="AK12" s="80"/>
      <c r="AM12" s="29"/>
    </row>
    <row r="13" spans="1:39" x14ac:dyDescent="0.3">
      <c r="A13">
        <v>10</v>
      </c>
      <c r="B13" s="110">
        <f>1180-C13</f>
        <v>-420</v>
      </c>
      <c r="C13" s="103">
        <f>SUM(D13:J13)</f>
        <v>1600</v>
      </c>
      <c r="D13" s="103">
        <f t="shared" si="0"/>
        <v>750</v>
      </c>
      <c r="E13" s="103">
        <f t="shared" si="0"/>
        <v>150</v>
      </c>
      <c r="F13" s="103">
        <f t="shared" si="0"/>
        <v>150</v>
      </c>
      <c r="G13" s="103">
        <f t="shared" si="0"/>
        <v>150</v>
      </c>
      <c r="H13" s="103">
        <f t="shared" si="0"/>
        <v>100</v>
      </c>
      <c r="I13" s="103">
        <f t="shared" si="0"/>
        <v>0</v>
      </c>
      <c r="J13" s="103">
        <f t="shared" si="0"/>
        <v>300</v>
      </c>
      <c r="K13" s="119"/>
      <c r="L13" s="119"/>
      <c r="M13" s="119"/>
      <c r="N13" s="119"/>
      <c r="O13" s="119"/>
      <c r="P13" s="119"/>
      <c r="Q13" s="119"/>
      <c r="R13" s="46" t="s">
        <v>62</v>
      </c>
      <c r="S13" s="46" t="s">
        <v>60</v>
      </c>
      <c r="T13" s="46">
        <v>20.399999999999991</v>
      </c>
      <c r="U13" s="46">
        <v>55.15555555555553</v>
      </c>
      <c r="V13" s="107">
        <f t="shared" si="3"/>
        <v>0</v>
      </c>
      <c r="W13" s="106">
        <f>Summary!$C$20*K13+Summary!$C$21*L13+Summary!$C$22*M13+Summary!$C$23*N13+Summary!$C$24*O13+Summary!$C$25*P13+Summary!$C$26*Q13</f>
        <v>0</v>
      </c>
      <c r="X13" t="s">
        <v>61</v>
      </c>
      <c r="Y13">
        <v>75.555555555555515</v>
      </c>
      <c r="Z13">
        <v>96</v>
      </c>
      <c r="AF13" s="79"/>
      <c r="AG13" s="80"/>
      <c r="AH13" s="80"/>
      <c r="AI13" s="82"/>
      <c r="AJ13" s="80"/>
      <c r="AK13" s="80"/>
      <c r="AL13"/>
      <c r="AM13" s="29"/>
    </row>
    <row r="14" spans="1:39" ht="15.6" customHeight="1" x14ac:dyDescent="0.3">
      <c r="A14">
        <v>11</v>
      </c>
      <c r="B14" s="110">
        <f t="shared" si="1"/>
        <v>-420</v>
      </c>
      <c r="C14" s="103">
        <f t="shared" si="2"/>
        <v>1600</v>
      </c>
      <c r="D14" s="103">
        <f t="shared" si="0"/>
        <v>750</v>
      </c>
      <c r="E14" s="103">
        <f t="shared" si="0"/>
        <v>150</v>
      </c>
      <c r="F14" s="103">
        <f t="shared" si="0"/>
        <v>150</v>
      </c>
      <c r="G14" s="103">
        <f t="shared" si="0"/>
        <v>150</v>
      </c>
      <c r="H14" s="103">
        <f t="shared" si="0"/>
        <v>100</v>
      </c>
      <c r="I14" s="103">
        <f t="shared" si="0"/>
        <v>0</v>
      </c>
      <c r="J14" s="103">
        <f t="shared" si="0"/>
        <v>300</v>
      </c>
      <c r="K14" s="119"/>
      <c r="L14" s="119"/>
      <c r="M14" s="119"/>
      <c r="N14" s="119"/>
      <c r="O14" s="119"/>
      <c r="P14" s="119"/>
      <c r="Q14" s="119"/>
      <c r="R14" s="46" t="s">
        <v>59</v>
      </c>
      <c r="S14" s="46" t="s">
        <v>60</v>
      </c>
      <c r="T14" s="46">
        <v>25.65</v>
      </c>
      <c r="U14" s="46">
        <v>69.349999999999994</v>
      </c>
      <c r="V14" s="107">
        <f t="shared" si="3"/>
        <v>0</v>
      </c>
      <c r="W14" s="106">
        <f>Summary!$C$20*K14+Summary!$C$21*L14+Summary!$C$22*M14+Summary!$C$23*N14+Summary!$C$24*O14+Summary!$C$25*P14+Summary!$C$26*Q14</f>
        <v>0</v>
      </c>
      <c r="X14" t="s">
        <v>61</v>
      </c>
      <c r="Y14">
        <v>95</v>
      </c>
      <c r="Z14">
        <v>95</v>
      </c>
      <c r="AF14" s="79"/>
      <c r="AG14" s="80"/>
      <c r="AH14" s="80"/>
      <c r="AI14" s="80"/>
      <c r="AJ14" s="79"/>
      <c r="AK14" s="80"/>
      <c r="AM14" s="29"/>
    </row>
    <row r="15" spans="1:39" x14ac:dyDescent="0.3">
      <c r="A15">
        <v>12</v>
      </c>
      <c r="B15" s="110">
        <f t="shared" si="1"/>
        <v>-990</v>
      </c>
      <c r="C15" s="103">
        <f t="shared" si="2"/>
        <v>2170</v>
      </c>
      <c r="D15" s="103">
        <f t="shared" si="0"/>
        <v>750</v>
      </c>
      <c r="E15" s="103">
        <f t="shared" si="0"/>
        <v>150</v>
      </c>
      <c r="F15" s="103">
        <f t="shared" si="0"/>
        <v>150</v>
      </c>
      <c r="G15" s="103">
        <f t="shared" si="0"/>
        <v>150</v>
      </c>
      <c r="H15" s="103">
        <f t="shared" si="0"/>
        <v>100</v>
      </c>
      <c r="I15" s="103">
        <f>I14-P15+250</f>
        <v>250</v>
      </c>
      <c r="J15" s="103">
        <f>J14-Q15+320</f>
        <v>620</v>
      </c>
      <c r="K15" s="119"/>
      <c r="L15" s="119"/>
      <c r="M15" s="119"/>
      <c r="N15" s="119"/>
      <c r="O15" s="119"/>
      <c r="P15" s="119"/>
      <c r="Q15" s="119"/>
      <c r="R15" s="46" t="s">
        <v>59</v>
      </c>
      <c r="S15" s="46" t="s">
        <v>60</v>
      </c>
      <c r="T15" s="46">
        <v>25.65</v>
      </c>
      <c r="U15" s="46">
        <v>69.349999999999994</v>
      </c>
      <c r="V15" s="107">
        <f t="shared" si="3"/>
        <v>0</v>
      </c>
      <c r="W15" s="106">
        <f>Summary!$C$20*K15+Summary!$C$21*L15+Summary!$C$22*M15+Summary!$C$23*N15+Summary!$C$24*O15+Summary!$C$25*P15+Summary!$C$26*Q15</f>
        <v>0</v>
      </c>
      <c r="X15" t="s">
        <v>61</v>
      </c>
      <c r="Y15">
        <v>95</v>
      </c>
      <c r="Z15">
        <v>95</v>
      </c>
      <c r="AF15" s="79"/>
      <c r="AG15" s="80"/>
      <c r="AH15" s="80"/>
      <c r="AI15" s="80"/>
      <c r="AJ15" s="79"/>
      <c r="AK15" s="79"/>
      <c r="AM15" s="29"/>
    </row>
    <row r="16" spans="1:39" x14ac:dyDescent="0.3">
      <c r="A16">
        <v>13</v>
      </c>
      <c r="B16" s="110">
        <f t="shared" si="1"/>
        <v>-990</v>
      </c>
      <c r="C16" s="103">
        <f t="shared" si="2"/>
        <v>2170</v>
      </c>
      <c r="D16" s="103">
        <f t="shared" si="0"/>
        <v>750</v>
      </c>
      <c r="E16" s="103">
        <f t="shared" si="0"/>
        <v>150</v>
      </c>
      <c r="F16" s="103">
        <f t="shared" si="0"/>
        <v>150</v>
      </c>
      <c r="G16" s="103">
        <f t="shared" si="0"/>
        <v>150</v>
      </c>
      <c r="H16" s="103">
        <f t="shared" si="0"/>
        <v>100</v>
      </c>
      <c r="I16" s="103">
        <f t="shared" si="0"/>
        <v>250</v>
      </c>
      <c r="J16" s="103">
        <f t="shared" si="0"/>
        <v>620</v>
      </c>
      <c r="K16" s="119"/>
      <c r="L16" s="119"/>
      <c r="M16" s="119"/>
      <c r="N16" s="119"/>
      <c r="O16" s="119"/>
      <c r="P16" s="119"/>
      <c r="Q16" s="119"/>
      <c r="R16" s="46" t="s">
        <v>59</v>
      </c>
      <c r="S16" s="46" t="s">
        <v>60</v>
      </c>
      <c r="T16" s="46">
        <v>25.65</v>
      </c>
      <c r="U16" s="46">
        <v>69.349999999999994</v>
      </c>
      <c r="V16" s="107">
        <f t="shared" si="3"/>
        <v>0</v>
      </c>
      <c r="W16" s="106">
        <f>Summary!$C$20*K16+Summary!$C$21*L16+Summary!$C$22*M16+Summary!$C$23*N16+Summary!$C$24*O16+Summary!$C$25*P16+Summary!$C$26*Q16</f>
        <v>0</v>
      </c>
      <c r="X16" t="s">
        <v>61</v>
      </c>
      <c r="Y16">
        <v>95</v>
      </c>
      <c r="Z16">
        <v>95</v>
      </c>
      <c r="AF16" s="79"/>
      <c r="AG16" s="80"/>
      <c r="AH16" s="80"/>
      <c r="AI16" s="80"/>
      <c r="AJ16" s="79"/>
      <c r="AK16" s="79"/>
      <c r="AM16" s="29"/>
    </row>
    <row r="17" spans="1:39" x14ac:dyDescent="0.3">
      <c r="A17">
        <v>14</v>
      </c>
      <c r="B17" s="110">
        <f t="shared" si="1"/>
        <v>-1140</v>
      </c>
      <c r="C17" s="103">
        <f t="shared" si="2"/>
        <v>2320</v>
      </c>
      <c r="D17" s="103">
        <f t="shared" si="0"/>
        <v>750</v>
      </c>
      <c r="E17" s="103">
        <f t="shared" si="0"/>
        <v>150</v>
      </c>
      <c r="F17" s="103">
        <f>F16-M17 + 150</f>
        <v>300</v>
      </c>
      <c r="G17" s="103">
        <f t="shared" si="0"/>
        <v>150</v>
      </c>
      <c r="H17" s="103">
        <f t="shared" si="0"/>
        <v>100</v>
      </c>
      <c r="I17" s="103">
        <f t="shared" si="0"/>
        <v>250</v>
      </c>
      <c r="J17" s="103">
        <f t="shared" si="0"/>
        <v>620</v>
      </c>
      <c r="K17" s="119"/>
      <c r="L17" s="119"/>
      <c r="M17" s="119"/>
      <c r="N17" s="119"/>
      <c r="O17" s="119"/>
      <c r="P17" s="119"/>
      <c r="Q17" s="119"/>
      <c r="R17" s="46" t="s">
        <v>59</v>
      </c>
      <c r="S17" s="46" t="s">
        <v>60</v>
      </c>
      <c r="T17" s="46">
        <v>24.797260273972611</v>
      </c>
      <c r="U17" s="46">
        <v>67.044444444444451</v>
      </c>
      <c r="V17" s="107">
        <f t="shared" si="3"/>
        <v>0</v>
      </c>
      <c r="W17" s="106">
        <f>Summary!$C$20*K17+Summary!$C$21*L17+Summary!$C$22*M17+Summary!$C$23*N17+Summary!$C$24*O17+Summary!$C$25*P17+Summary!$C$26*Q17</f>
        <v>0</v>
      </c>
      <c r="X17" t="s">
        <v>61</v>
      </c>
      <c r="Y17">
        <v>91.841704718417063</v>
      </c>
      <c r="Z17">
        <v>95</v>
      </c>
      <c r="AF17" s="79"/>
      <c r="AG17" s="80"/>
      <c r="AH17" s="80"/>
      <c r="AI17" s="80"/>
      <c r="AJ17" s="79"/>
      <c r="AK17" s="79"/>
      <c r="AM17" s="29"/>
    </row>
    <row r="18" spans="1:39" x14ac:dyDescent="0.3">
      <c r="A18">
        <v>15</v>
      </c>
      <c r="B18" s="110">
        <f t="shared" si="1"/>
        <v>-1140</v>
      </c>
      <c r="C18" s="103">
        <f t="shared" si="2"/>
        <v>2320</v>
      </c>
      <c r="D18" s="103">
        <f t="shared" si="0"/>
        <v>750</v>
      </c>
      <c r="E18" s="103">
        <f t="shared" si="0"/>
        <v>150</v>
      </c>
      <c r="F18" s="103">
        <f t="shared" si="0"/>
        <v>300</v>
      </c>
      <c r="G18" s="103">
        <f t="shared" si="0"/>
        <v>150</v>
      </c>
      <c r="H18" s="103">
        <f t="shared" si="0"/>
        <v>100</v>
      </c>
      <c r="I18" s="103">
        <f t="shared" si="0"/>
        <v>250</v>
      </c>
      <c r="J18" s="103">
        <f t="shared" si="0"/>
        <v>620</v>
      </c>
      <c r="K18" s="119"/>
      <c r="L18" s="119"/>
      <c r="M18" s="119"/>
      <c r="N18" s="119"/>
      <c r="O18" s="119"/>
      <c r="P18" s="119"/>
      <c r="Q18" s="119"/>
      <c r="R18" s="46" t="s">
        <v>53</v>
      </c>
      <c r="S18" s="46"/>
      <c r="T18" s="46">
        <v>7.1054273576010019E-15</v>
      </c>
      <c r="U18" s="46">
        <v>0</v>
      </c>
      <c r="V18" s="107">
        <f t="shared" si="3"/>
        <v>0</v>
      </c>
      <c r="W18" s="106">
        <f>Summary!$C$20*K18+Summary!$C$21*L18+Summary!$C$22*M18+Summary!$C$23*N18+Summary!$C$24*O18+Summary!$C$25*P18+Summary!$C$26*Q18</f>
        <v>0</v>
      </c>
      <c r="X18" t="s">
        <v>72</v>
      </c>
      <c r="Y18">
        <v>7.1054273576010019E-15</v>
      </c>
      <c r="Z18">
        <v>96</v>
      </c>
      <c r="AF18" s="79"/>
      <c r="AG18" s="80"/>
      <c r="AH18" s="80"/>
      <c r="AI18" s="81"/>
      <c r="AJ18" s="79"/>
      <c r="AK18" s="79"/>
      <c r="AM18" s="29"/>
    </row>
    <row r="19" spans="1:39" x14ac:dyDescent="0.3">
      <c r="A19">
        <v>16</v>
      </c>
      <c r="B19" s="110">
        <f t="shared" si="1"/>
        <v>-1140</v>
      </c>
      <c r="C19" s="103">
        <f t="shared" si="2"/>
        <v>2320</v>
      </c>
      <c r="D19" s="103">
        <f t="shared" si="0"/>
        <v>750</v>
      </c>
      <c r="E19" s="103">
        <f t="shared" si="0"/>
        <v>150</v>
      </c>
      <c r="F19" s="103">
        <f t="shared" si="0"/>
        <v>300</v>
      </c>
      <c r="G19" s="103">
        <f t="shared" si="0"/>
        <v>150</v>
      </c>
      <c r="H19" s="103">
        <f t="shared" si="0"/>
        <v>100</v>
      </c>
      <c r="I19" s="103">
        <f t="shared" si="0"/>
        <v>250</v>
      </c>
      <c r="J19" s="103">
        <f t="shared" si="0"/>
        <v>620</v>
      </c>
      <c r="K19" s="119"/>
      <c r="L19" s="119"/>
      <c r="M19" s="119"/>
      <c r="N19" s="119"/>
      <c r="O19" s="119"/>
      <c r="P19" s="119"/>
      <c r="Q19" s="119"/>
      <c r="R19" s="46" t="s">
        <v>59</v>
      </c>
      <c r="S19" s="46"/>
      <c r="T19" s="46">
        <v>95</v>
      </c>
      <c r="U19" s="46">
        <v>0</v>
      </c>
      <c r="V19" s="107">
        <f t="shared" si="3"/>
        <v>0</v>
      </c>
      <c r="W19" s="106">
        <f>Summary!$C$20*K19+Summary!$C$21*L19+Summary!$C$22*M19+Summary!$C$23*N19+Summary!$C$24*O19+Summary!$C$25*P19+Summary!$C$26*Q19</f>
        <v>0</v>
      </c>
      <c r="X19" t="s">
        <v>72</v>
      </c>
      <c r="Y19">
        <v>95</v>
      </c>
      <c r="Z19">
        <v>95</v>
      </c>
      <c r="AF19" s="79"/>
      <c r="AG19" s="80"/>
      <c r="AH19" s="80"/>
      <c r="AI19" s="81"/>
      <c r="AJ19" s="79"/>
      <c r="AK19" s="79"/>
      <c r="AL19"/>
      <c r="AM19" s="29"/>
    </row>
    <row r="20" spans="1:39" x14ac:dyDescent="0.3">
      <c r="A20">
        <v>17</v>
      </c>
      <c r="B20" s="110">
        <f t="shared" si="1"/>
        <v>-1140</v>
      </c>
      <c r="C20" s="103">
        <f t="shared" si="2"/>
        <v>2320</v>
      </c>
      <c r="D20" s="103">
        <f t="shared" ref="D20:J35" si="4">D19-K20</f>
        <v>750</v>
      </c>
      <c r="E20" s="103">
        <f t="shared" si="4"/>
        <v>150</v>
      </c>
      <c r="F20" s="103">
        <f t="shared" si="4"/>
        <v>300</v>
      </c>
      <c r="G20" s="103">
        <f t="shared" si="4"/>
        <v>150</v>
      </c>
      <c r="H20" s="103">
        <f t="shared" si="4"/>
        <v>100</v>
      </c>
      <c r="I20" s="103">
        <f t="shared" si="4"/>
        <v>250</v>
      </c>
      <c r="J20" s="103">
        <f t="shared" si="4"/>
        <v>620</v>
      </c>
      <c r="K20" s="119"/>
      <c r="L20" s="119"/>
      <c r="M20" s="119"/>
      <c r="N20" s="119"/>
      <c r="O20" s="119"/>
      <c r="P20" s="119"/>
      <c r="Q20" s="119"/>
      <c r="R20" s="46" t="s">
        <v>59</v>
      </c>
      <c r="S20" s="46"/>
      <c r="T20" s="46">
        <v>77.60273972602738</v>
      </c>
      <c r="U20" s="46">
        <v>0</v>
      </c>
      <c r="V20" s="107">
        <f t="shared" si="3"/>
        <v>0</v>
      </c>
      <c r="W20" s="106">
        <f>Summary!$C$20*K20+Summary!$C$21*L20+Summary!$C$22*M20+Summary!$C$23*N20+Summary!$C$24*O20+Summary!$C$25*P20+Summary!$C$26*Q20</f>
        <v>0</v>
      </c>
      <c r="X20" t="s">
        <v>72</v>
      </c>
      <c r="Y20">
        <v>77.60273972602738</v>
      </c>
      <c r="Z20">
        <v>95</v>
      </c>
      <c r="AF20" s="79"/>
      <c r="AG20" s="79"/>
      <c r="AH20" s="80"/>
      <c r="AI20" s="81"/>
      <c r="AJ20" s="79"/>
      <c r="AK20" s="79"/>
      <c r="AL20" s="30"/>
      <c r="AM20" s="29"/>
    </row>
    <row r="21" spans="1:39" x14ac:dyDescent="0.3">
      <c r="A21">
        <v>18</v>
      </c>
      <c r="B21" s="110">
        <f t="shared" si="1"/>
        <v>-1690</v>
      </c>
      <c r="C21" s="103">
        <f>SUM(D21:J21)</f>
        <v>2870</v>
      </c>
      <c r="D21" s="103">
        <f t="shared" si="4"/>
        <v>750</v>
      </c>
      <c r="E21" s="103">
        <f t="shared" si="4"/>
        <v>150</v>
      </c>
      <c r="F21" s="103">
        <f t="shared" si="4"/>
        <v>300</v>
      </c>
      <c r="G21" s="103">
        <f t="shared" si="4"/>
        <v>150</v>
      </c>
      <c r="H21" s="103">
        <f t="shared" si="4"/>
        <v>100</v>
      </c>
      <c r="I21" s="103">
        <f>I20-P21+550</f>
        <v>800</v>
      </c>
      <c r="J21" s="103">
        <f t="shared" si="4"/>
        <v>620</v>
      </c>
      <c r="K21" s="119"/>
      <c r="L21" s="119"/>
      <c r="M21" s="119"/>
      <c r="N21" s="119"/>
      <c r="O21" s="119"/>
      <c r="P21" s="119"/>
      <c r="Q21" s="119"/>
      <c r="R21" s="46" t="s">
        <v>75</v>
      </c>
      <c r="S21" s="46"/>
      <c r="T21" s="46">
        <v>95</v>
      </c>
      <c r="U21" s="46">
        <v>0</v>
      </c>
      <c r="V21" s="107">
        <f t="shared" si="3"/>
        <v>0</v>
      </c>
      <c r="W21" s="106">
        <f>Summary!$C$20*K21+Summary!$C$21*L21+Summary!$C$22*M21+Summary!$C$23*N21+Summary!$C$24*O21+Summary!$C$25*P21+Summary!$C$26*Q21</f>
        <v>0</v>
      </c>
      <c r="X21" t="s">
        <v>72</v>
      </c>
      <c r="Y21">
        <v>95</v>
      </c>
      <c r="Z21">
        <v>95</v>
      </c>
      <c r="AF21" s="79"/>
      <c r="AG21" s="79"/>
      <c r="AH21" s="79"/>
      <c r="AI21" s="81"/>
      <c r="AJ21" s="79"/>
      <c r="AK21" s="79"/>
      <c r="AL21" s="30"/>
      <c r="AM21" s="29"/>
    </row>
    <row r="22" spans="1:39" x14ac:dyDescent="0.3">
      <c r="A22">
        <v>19</v>
      </c>
      <c r="B22" s="110">
        <f t="shared" si="1"/>
        <v>-1690</v>
      </c>
      <c r="C22" s="103">
        <f t="shared" si="2"/>
        <v>2870</v>
      </c>
      <c r="D22" s="103">
        <f t="shared" si="4"/>
        <v>750</v>
      </c>
      <c r="E22" s="103">
        <f t="shared" si="4"/>
        <v>150</v>
      </c>
      <c r="F22" s="103">
        <f t="shared" si="4"/>
        <v>300</v>
      </c>
      <c r="G22" s="103">
        <f t="shared" si="4"/>
        <v>150</v>
      </c>
      <c r="H22" s="103">
        <f t="shared" si="4"/>
        <v>100</v>
      </c>
      <c r="I22" s="103">
        <f t="shared" si="4"/>
        <v>800</v>
      </c>
      <c r="J22" s="103">
        <f t="shared" si="4"/>
        <v>620</v>
      </c>
      <c r="K22" s="119"/>
      <c r="L22" s="119"/>
      <c r="M22" s="119"/>
      <c r="N22" s="119"/>
      <c r="O22" s="119"/>
      <c r="P22" s="119"/>
      <c r="Q22" s="119"/>
      <c r="R22" s="46" t="s">
        <v>53</v>
      </c>
      <c r="S22" s="46"/>
      <c r="T22" s="46">
        <v>96</v>
      </c>
      <c r="U22" s="46">
        <v>0</v>
      </c>
      <c r="V22" s="107">
        <f t="shared" si="3"/>
        <v>0</v>
      </c>
      <c r="W22" s="106">
        <f>Summary!$C$20*K22+Summary!$C$21*L22+Summary!$C$22*M22+Summary!$C$23*N22+Summary!$C$24*O22+Summary!$C$25*P22+Summary!$C$26*Q22</f>
        <v>0</v>
      </c>
      <c r="X22" t="s">
        <v>72</v>
      </c>
      <c r="Y22">
        <v>96</v>
      </c>
      <c r="Z22">
        <v>96</v>
      </c>
      <c r="AF22" s="79"/>
      <c r="AG22" s="79"/>
      <c r="AH22" s="79"/>
      <c r="AI22" s="80"/>
      <c r="AJ22" s="79"/>
      <c r="AK22" s="79"/>
      <c r="AL22" s="30"/>
      <c r="AM22" s="29"/>
    </row>
    <row r="23" spans="1:39" x14ac:dyDescent="0.3">
      <c r="A23">
        <v>20</v>
      </c>
      <c r="B23" s="110">
        <f t="shared" si="1"/>
        <v>-1690</v>
      </c>
      <c r="C23" s="103">
        <f t="shared" si="2"/>
        <v>2870</v>
      </c>
      <c r="D23" s="103">
        <f t="shared" si="4"/>
        <v>750</v>
      </c>
      <c r="E23" s="103">
        <f t="shared" si="4"/>
        <v>150</v>
      </c>
      <c r="F23" s="103">
        <f t="shared" si="4"/>
        <v>300</v>
      </c>
      <c r="G23" s="103">
        <f t="shared" si="4"/>
        <v>150</v>
      </c>
      <c r="H23" s="103">
        <f t="shared" si="4"/>
        <v>100</v>
      </c>
      <c r="I23" s="103">
        <f t="shared" si="4"/>
        <v>800</v>
      </c>
      <c r="J23" s="103">
        <f t="shared" si="4"/>
        <v>620</v>
      </c>
      <c r="K23" s="119"/>
      <c r="L23" s="119"/>
      <c r="M23" s="119"/>
      <c r="N23" s="119"/>
      <c r="O23" s="119"/>
      <c r="P23" s="119"/>
      <c r="Q23" s="119"/>
      <c r="R23" s="46" t="s">
        <v>53</v>
      </c>
      <c r="S23" s="46"/>
      <c r="T23" s="46">
        <v>96</v>
      </c>
      <c r="U23" s="46">
        <v>0</v>
      </c>
      <c r="V23" s="107">
        <f t="shared" si="3"/>
        <v>0</v>
      </c>
      <c r="W23" s="106">
        <f>Summary!$C$20*K23+Summary!$C$21*L23+Summary!$C$22*M23+Summary!$C$23*N23+Summary!$C$24*O23+Summary!$C$25*P23+Summary!$C$26*Q23</f>
        <v>0</v>
      </c>
      <c r="X23" t="s">
        <v>72</v>
      </c>
      <c r="Y23">
        <v>96</v>
      </c>
      <c r="Z23">
        <v>96</v>
      </c>
      <c r="AF23" s="79"/>
      <c r="AG23" s="79"/>
      <c r="AH23" s="79"/>
      <c r="AI23" s="80"/>
      <c r="AJ23" s="79"/>
      <c r="AK23" s="79"/>
      <c r="AL23" s="30"/>
      <c r="AM23" s="29"/>
    </row>
    <row r="24" spans="1:39" x14ac:dyDescent="0.3">
      <c r="A24">
        <v>21</v>
      </c>
      <c r="B24" s="110">
        <f t="shared" si="1"/>
        <v>-1690</v>
      </c>
      <c r="C24" s="103">
        <f t="shared" si="2"/>
        <v>2870</v>
      </c>
      <c r="D24" s="103">
        <f t="shared" si="4"/>
        <v>750</v>
      </c>
      <c r="E24" s="103">
        <f t="shared" si="4"/>
        <v>150</v>
      </c>
      <c r="F24" s="103">
        <f t="shared" si="4"/>
        <v>300</v>
      </c>
      <c r="G24" s="103">
        <f t="shared" si="4"/>
        <v>150</v>
      </c>
      <c r="H24" s="103">
        <f t="shared" si="4"/>
        <v>100</v>
      </c>
      <c r="I24" s="103">
        <f t="shared" si="4"/>
        <v>800</v>
      </c>
      <c r="J24" s="103">
        <f t="shared" si="4"/>
        <v>620</v>
      </c>
      <c r="K24" s="119"/>
      <c r="L24" s="119"/>
      <c r="M24" s="119"/>
      <c r="N24" s="119"/>
      <c r="O24" s="119"/>
      <c r="P24" s="119"/>
      <c r="Q24" s="119"/>
      <c r="R24" s="46" t="s">
        <v>53</v>
      </c>
      <c r="S24" s="46"/>
      <c r="T24" s="46">
        <v>8</v>
      </c>
      <c r="U24" s="46">
        <v>0</v>
      </c>
      <c r="V24" s="107">
        <f t="shared" si="3"/>
        <v>0</v>
      </c>
      <c r="W24" s="106">
        <f>Summary!$C$20*K24+Summary!$C$21*L24+Summary!$C$22*M24+Summary!$C$23*N24+Summary!$C$24*O24+Summary!$C$25*P24+Summary!$C$26*Q24</f>
        <v>0</v>
      </c>
      <c r="X24" t="s">
        <v>72</v>
      </c>
      <c r="Y24">
        <v>8</v>
      </c>
      <c r="Z24">
        <v>96</v>
      </c>
      <c r="AF24" s="79"/>
      <c r="AG24" s="79"/>
      <c r="AH24" s="79"/>
      <c r="AI24" s="80"/>
      <c r="AJ24" s="79"/>
      <c r="AK24" s="79"/>
      <c r="AL24" s="30"/>
      <c r="AM24" s="29"/>
    </row>
    <row r="25" spans="1:39" x14ac:dyDescent="0.3">
      <c r="A25">
        <v>22</v>
      </c>
      <c r="B25" s="110">
        <f t="shared" si="1"/>
        <v>-1690</v>
      </c>
      <c r="C25" s="103">
        <f>SUM(D25:J25)</f>
        <v>2870</v>
      </c>
      <c r="D25" s="103">
        <f t="shared" si="4"/>
        <v>750</v>
      </c>
      <c r="E25" s="103">
        <f t="shared" si="4"/>
        <v>150</v>
      </c>
      <c r="F25" s="103">
        <f t="shared" si="4"/>
        <v>300</v>
      </c>
      <c r="G25" s="103">
        <f t="shared" si="4"/>
        <v>150</v>
      </c>
      <c r="H25" s="103">
        <f t="shared" si="4"/>
        <v>100</v>
      </c>
      <c r="I25" s="103">
        <f t="shared" si="4"/>
        <v>800</v>
      </c>
      <c r="J25" s="103">
        <f t="shared" si="4"/>
        <v>620</v>
      </c>
      <c r="K25" s="119"/>
      <c r="L25" s="119"/>
      <c r="M25" s="119"/>
      <c r="N25" s="119"/>
      <c r="O25" s="119"/>
      <c r="P25" s="119"/>
      <c r="Q25" s="119"/>
      <c r="R25" s="46" t="s">
        <v>60</v>
      </c>
      <c r="S25" s="46"/>
      <c r="T25" s="46">
        <v>87</v>
      </c>
      <c r="U25" s="46">
        <v>0</v>
      </c>
      <c r="V25" s="107">
        <f t="shared" si="3"/>
        <v>0</v>
      </c>
      <c r="W25" s="106">
        <f>Summary!$C$20*K25+Summary!$C$21*L25+Summary!$C$22*M25+Summary!$C$23*N25+Summary!$C$24*O25+Summary!$C$25*P25+Summary!$C$26*Q25</f>
        <v>0</v>
      </c>
      <c r="X25" t="s">
        <v>72</v>
      </c>
      <c r="Y25">
        <v>87</v>
      </c>
      <c r="Z25">
        <v>87</v>
      </c>
      <c r="AF25" s="79"/>
      <c r="AG25" s="79"/>
      <c r="AH25" s="79"/>
      <c r="AI25" s="80"/>
      <c r="AJ25" s="81"/>
      <c r="AK25" s="79"/>
      <c r="AL25" s="30"/>
      <c r="AM25" s="29"/>
    </row>
    <row r="26" spans="1:39" x14ac:dyDescent="0.3">
      <c r="A26">
        <v>23</v>
      </c>
      <c r="B26" s="110">
        <f t="shared" si="1"/>
        <v>-1690</v>
      </c>
      <c r="C26" s="103">
        <f t="shared" si="2"/>
        <v>2870</v>
      </c>
      <c r="D26" s="103">
        <f t="shared" si="4"/>
        <v>750</v>
      </c>
      <c r="E26" s="103">
        <f t="shared" si="4"/>
        <v>150</v>
      </c>
      <c r="F26" s="103">
        <f t="shared" si="4"/>
        <v>300</v>
      </c>
      <c r="G26" s="103">
        <f t="shared" si="4"/>
        <v>150</v>
      </c>
      <c r="H26" s="103">
        <f t="shared" si="4"/>
        <v>100</v>
      </c>
      <c r="I26" s="103">
        <f t="shared" si="4"/>
        <v>800</v>
      </c>
      <c r="J26" s="103">
        <f t="shared" si="4"/>
        <v>620</v>
      </c>
      <c r="K26" s="119"/>
      <c r="L26" s="119"/>
      <c r="M26" s="119"/>
      <c r="N26" s="119"/>
      <c r="O26" s="119"/>
      <c r="P26" s="119"/>
      <c r="Q26" s="119"/>
      <c r="R26" s="46" t="s">
        <v>60</v>
      </c>
      <c r="S26" s="46"/>
      <c r="T26" s="46">
        <v>87</v>
      </c>
      <c r="U26" s="46">
        <v>0</v>
      </c>
      <c r="V26" s="107">
        <f t="shared" si="3"/>
        <v>0</v>
      </c>
      <c r="W26" s="106">
        <f>Summary!$C$20*K26+Summary!$C$21*L26+Summary!$C$22*M26+Summary!$C$23*N26+Summary!$C$24*O26+Summary!$C$25*P26+Summary!$C$26*Q26</f>
        <v>0</v>
      </c>
      <c r="X26" t="s">
        <v>72</v>
      </c>
      <c r="Y26">
        <v>87</v>
      </c>
      <c r="Z26">
        <v>87</v>
      </c>
      <c r="AF26" s="79"/>
      <c r="AG26" s="79"/>
      <c r="AH26" s="79"/>
      <c r="AI26" s="81"/>
      <c r="AJ26" s="79"/>
      <c r="AK26" s="79"/>
      <c r="AL26" s="30"/>
      <c r="AM26" s="29"/>
    </row>
    <row r="27" spans="1:39" x14ac:dyDescent="0.3">
      <c r="A27">
        <v>24</v>
      </c>
      <c r="B27" s="110">
        <f t="shared" si="1"/>
        <v>-2250</v>
      </c>
      <c r="C27" s="103">
        <f t="shared" si="2"/>
        <v>3430</v>
      </c>
      <c r="D27" s="103">
        <f>D26-K27+360</f>
        <v>1110</v>
      </c>
      <c r="E27" s="103">
        <f t="shared" si="4"/>
        <v>150</v>
      </c>
      <c r="F27" s="103">
        <f t="shared" si="4"/>
        <v>300</v>
      </c>
      <c r="G27" s="103">
        <f>G26-N27+200</f>
        <v>350</v>
      </c>
      <c r="H27" s="103">
        <f t="shared" si="4"/>
        <v>100</v>
      </c>
      <c r="I27" s="103">
        <f t="shared" si="4"/>
        <v>800</v>
      </c>
      <c r="J27" s="103">
        <f t="shared" si="4"/>
        <v>620</v>
      </c>
      <c r="K27" s="119"/>
      <c r="L27" s="119"/>
      <c r="M27" s="119"/>
      <c r="N27" s="119"/>
      <c r="O27" s="119"/>
      <c r="P27" s="119"/>
      <c r="Q27" s="119"/>
      <c r="R27" s="46" t="s">
        <v>60</v>
      </c>
      <c r="S27" s="46"/>
      <c r="T27" s="46">
        <v>87</v>
      </c>
      <c r="U27" s="46">
        <v>0</v>
      </c>
      <c r="V27" s="107">
        <f t="shared" si="3"/>
        <v>0</v>
      </c>
      <c r="W27" s="106">
        <f>Summary!$C$20*K27+Summary!$C$21*L27+Summary!$C$22*M27+Summary!$C$23*N27+Summary!$C$24*O27+Summary!$C$25*P27+Summary!$C$26*Q27</f>
        <v>0</v>
      </c>
      <c r="X27" t="s">
        <v>72</v>
      </c>
      <c r="Y27">
        <v>87</v>
      </c>
      <c r="Z27">
        <v>87</v>
      </c>
      <c r="AF27" s="79"/>
      <c r="AG27" s="79"/>
      <c r="AH27" s="79"/>
      <c r="AI27" s="79"/>
      <c r="AJ27" s="79"/>
      <c r="AK27" s="79"/>
      <c r="AL27" s="30"/>
      <c r="AM27" s="29"/>
    </row>
    <row r="28" spans="1:39" x14ac:dyDescent="0.3">
      <c r="A28">
        <v>25</v>
      </c>
      <c r="B28" s="110">
        <f t="shared" si="1"/>
        <v>-2250</v>
      </c>
      <c r="C28" s="103">
        <f t="shared" si="2"/>
        <v>3430</v>
      </c>
      <c r="D28" s="103">
        <f t="shared" si="4"/>
        <v>1110</v>
      </c>
      <c r="E28" s="103">
        <f t="shared" si="4"/>
        <v>150</v>
      </c>
      <c r="F28" s="103">
        <f t="shared" si="4"/>
        <v>300</v>
      </c>
      <c r="G28" s="103">
        <f t="shared" si="4"/>
        <v>350</v>
      </c>
      <c r="H28" s="103">
        <f t="shared" si="4"/>
        <v>100</v>
      </c>
      <c r="I28" s="103">
        <f t="shared" si="4"/>
        <v>800</v>
      </c>
      <c r="J28" s="103">
        <f t="shared" si="4"/>
        <v>620</v>
      </c>
      <c r="K28" s="119"/>
      <c r="L28" s="119"/>
      <c r="M28" s="119"/>
      <c r="N28" s="119"/>
      <c r="O28" s="119"/>
      <c r="P28" s="119"/>
      <c r="Q28" s="119"/>
      <c r="R28" s="46" t="s">
        <v>60</v>
      </c>
      <c r="S28" s="46"/>
      <c r="T28" s="46">
        <v>87</v>
      </c>
      <c r="U28" s="46">
        <v>0</v>
      </c>
      <c r="V28" s="107">
        <f t="shared" si="3"/>
        <v>0</v>
      </c>
      <c r="W28" s="106">
        <f>Summary!$C$20*K28+Summary!$C$21*L28+Summary!$C$22*M28+Summary!$C$23*N28+Summary!$C$24*O28+Summary!$C$25*P28+Summary!$C$26*Q28</f>
        <v>0</v>
      </c>
      <c r="X28" t="s">
        <v>72</v>
      </c>
      <c r="Y28">
        <v>87</v>
      </c>
      <c r="Z28">
        <v>87</v>
      </c>
      <c r="AF28" s="79"/>
      <c r="AG28" s="79"/>
      <c r="AH28" s="79"/>
      <c r="AI28" s="79"/>
      <c r="AJ28" s="79"/>
      <c r="AK28" s="79"/>
      <c r="AL28" s="30"/>
      <c r="AM28" s="29"/>
    </row>
    <row r="29" spans="1:39" x14ac:dyDescent="0.3">
      <c r="A29">
        <v>26</v>
      </c>
      <c r="B29" s="110">
        <f t="shared" si="1"/>
        <v>-2250</v>
      </c>
      <c r="C29" s="103">
        <f t="shared" si="2"/>
        <v>3430</v>
      </c>
      <c r="D29" s="103">
        <f t="shared" si="4"/>
        <v>1110</v>
      </c>
      <c r="E29" s="103">
        <f t="shared" si="4"/>
        <v>150</v>
      </c>
      <c r="F29" s="103">
        <f t="shared" si="4"/>
        <v>300</v>
      </c>
      <c r="G29" s="103">
        <f t="shared" si="4"/>
        <v>350</v>
      </c>
      <c r="H29" s="103">
        <f t="shared" si="4"/>
        <v>100</v>
      </c>
      <c r="I29" s="103">
        <f t="shared" si="4"/>
        <v>800</v>
      </c>
      <c r="J29" s="103">
        <f t="shared" si="4"/>
        <v>620</v>
      </c>
      <c r="K29" s="119"/>
      <c r="L29" s="119"/>
      <c r="M29" s="119"/>
      <c r="N29" s="119"/>
      <c r="O29" s="119"/>
      <c r="P29" s="119"/>
      <c r="Q29" s="119"/>
      <c r="R29" s="46" t="s">
        <v>60</v>
      </c>
      <c r="S29" s="46"/>
      <c r="T29" s="46">
        <v>12</v>
      </c>
      <c r="U29" s="46">
        <v>0</v>
      </c>
      <c r="V29" s="107">
        <f t="shared" si="3"/>
        <v>0</v>
      </c>
      <c r="W29" s="106">
        <f>Summary!$C$20*K29+Summary!$C$21*L29+Summary!$C$22*M29+Summary!$C$23*N29+Summary!$C$24*O29+Summary!$C$25*P29+Summary!$C$26*Q29</f>
        <v>0</v>
      </c>
      <c r="X29" t="s">
        <v>72</v>
      </c>
      <c r="Y29">
        <v>12</v>
      </c>
      <c r="Z29">
        <v>87</v>
      </c>
      <c r="AF29" s="79"/>
      <c r="AG29" s="79"/>
      <c r="AH29" s="79"/>
      <c r="AI29" s="79"/>
      <c r="AJ29" s="79"/>
      <c r="AK29" s="79"/>
      <c r="AL29" s="30"/>
      <c r="AM29" s="29"/>
    </row>
    <row r="30" spans="1:39" x14ac:dyDescent="0.3">
      <c r="A30">
        <v>27</v>
      </c>
      <c r="B30" s="110">
        <f t="shared" si="1"/>
        <v>-2250</v>
      </c>
      <c r="C30" s="103">
        <f t="shared" si="2"/>
        <v>3430</v>
      </c>
      <c r="D30" s="103">
        <f t="shared" si="4"/>
        <v>1110</v>
      </c>
      <c r="E30" s="103">
        <f t="shared" si="4"/>
        <v>150</v>
      </c>
      <c r="F30" s="103">
        <f t="shared" si="4"/>
        <v>300</v>
      </c>
      <c r="G30" s="103">
        <f t="shared" si="4"/>
        <v>350</v>
      </c>
      <c r="H30" s="103">
        <f t="shared" si="4"/>
        <v>100</v>
      </c>
      <c r="I30" s="103">
        <f t="shared" si="4"/>
        <v>800</v>
      </c>
      <c r="J30" s="103">
        <f t="shared" si="4"/>
        <v>620</v>
      </c>
      <c r="K30" s="119"/>
      <c r="L30" s="119"/>
      <c r="M30" s="119"/>
      <c r="N30" s="119"/>
      <c r="O30" s="119"/>
      <c r="P30" s="119"/>
      <c r="Q30" s="119"/>
      <c r="R30" s="46" t="s">
        <v>54</v>
      </c>
      <c r="S30" s="46"/>
      <c r="T30" s="46">
        <v>95</v>
      </c>
      <c r="U30" s="46">
        <v>0</v>
      </c>
      <c r="V30" s="107">
        <f t="shared" si="3"/>
        <v>0</v>
      </c>
      <c r="W30" s="106">
        <f>Summary!$C$20*K30+Summary!$C$21*L30+Summary!$C$22*M30+Summary!$C$23*N30+Summary!$C$24*O30+Summary!$C$25*P30+Summary!$C$26*Q30</f>
        <v>0</v>
      </c>
      <c r="X30" t="s">
        <v>72</v>
      </c>
      <c r="Y30">
        <v>95</v>
      </c>
      <c r="Z30">
        <v>95</v>
      </c>
      <c r="AF30" s="79"/>
      <c r="AG30" s="79"/>
      <c r="AH30" s="79"/>
      <c r="AI30" s="79"/>
      <c r="AJ30" s="79"/>
      <c r="AK30" s="79"/>
      <c r="AL30" s="30"/>
      <c r="AM30" s="29"/>
    </row>
    <row r="31" spans="1:39" x14ac:dyDescent="0.3">
      <c r="A31">
        <v>28</v>
      </c>
      <c r="B31" s="110">
        <f t="shared" si="1"/>
        <v>-2250</v>
      </c>
      <c r="C31" s="103">
        <f t="shared" si="2"/>
        <v>3430</v>
      </c>
      <c r="D31" s="103">
        <f t="shared" si="4"/>
        <v>1110</v>
      </c>
      <c r="E31" s="103">
        <f t="shared" si="4"/>
        <v>150</v>
      </c>
      <c r="F31" s="103">
        <f t="shared" si="4"/>
        <v>300</v>
      </c>
      <c r="G31" s="103">
        <f t="shared" si="4"/>
        <v>350</v>
      </c>
      <c r="H31" s="103">
        <f t="shared" si="4"/>
        <v>100</v>
      </c>
      <c r="I31" s="103">
        <f t="shared" si="4"/>
        <v>800</v>
      </c>
      <c r="J31" s="103">
        <f t="shared" si="4"/>
        <v>620</v>
      </c>
      <c r="K31" s="119"/>
      <c r="L31" s="119"/>
      <c r="M31" s="119"/>
      <c r="N31" s="119"/>
      <c r="O31" s="119"/>
      <c r="P31" s="119"/>
      <c r="Q31" s="119"/>
      <c r="R31" s="46" t="s">
        <v>54</v>
      </c>
      <c r="S31" s="46"/>
      <c r="T31" s="46">
        <v>55</v>
      </c>
      <c r="U31" s="46">
        <v>0</v>
      </c>
      <c r="V31" s="107">
        <f t="shared" si="3"/>
        <v>0</v>
      </c>
      <c r="W31" s="106">
        <f>Summary!$C$20*K31+Summary!$C$21*L31+Summary!$C$22*M31+Summary!$C$23*N31+Summary!$C$24*O31+Summary!$C$25*P31+Summary!$C$26*Q31</f>
        <v>0</v>
      </c>
      <c r="X31" t="s">
        <v>72</v>
      </c>
      <c r="Y31">
        <v>55</v>
      </c>
      <c r="Z31">
        <v>95</v>
      </c>
      <c r="AF31" s="79"/>
      <c r="AG31" s="79"/>
      <c r="AH31" s="79"/>
      <c r="AI31" s="79"/>
      <c r="AJ31" s="79"/>
      <c r="AK31" s="79"/>
      <c r="AL31" s="30"/>
      <c r="AM31" s="29"/>
    </row>
    <row r="32" spans="1:39" x14ac:dyDescent="0.3">
      <c r="A32">
        <v>29</v>
      </c>
      <c r="B32" s="110">
        <f t="shared" si="1"/>
        <v>-2780</v>
      </c>
      <c r="C32" s="103">
        <f t="shared" si="2"/>
        <v>3960</v>
      </c>
      <c r="D32" s="103">
        <f t="shared" si="4"/>
        <v>1110</v>
      </c>
      <c r="E32" s="103">
        <f t="shared" si="4"/>
        <v>150</v>
      </c>
      <c r="F32" s="103">
        <f t="shared" si="4"/>
        <v>300</v>
      </c>
      <c r="G32" s="103">
        <f t="shared" si="4"/>
        <v>350</v>
      </c>
      <c r="H32" s="103">
        <f>H31-O32+150</f>
        <v>250</v>
      </c>
      <c r="I32" s="103">
        <f>I31-P32+100</f>
        <v>900</v>
      </c>
      <c r="J32" s="103">
        <f>J31-Q32+280</f>
        <v>900</v>
      </c>
      <c r="K32" s="119"/>
      <c r="L32" s="119"/>
      <c r="M32" s="119"/>
      <c r="N32" s="119"/>
      <c r="O32" s="119"/>
      <c r="P32" s="119"/>
      <c r="Q32" s="119"/>
      <c r="R32" s="46" t="s">
        <v>75</v>
      </c>
      <c r="S32" s="46"/>
      <c r="T32" s="46">
        <v>95</v>
      </c>
      <c r="U32" s="46">
        <v>0</v>
      </c>
      <c r="V32" s="107">
        <f t="shared" si="3"/>
        <v>0</v>
      </c>
      <c r="W32" s="106">
        <f>Summary!$C$20*K32+Summary!$C$21*L32+Summary!$C$22*M32+Summary!$C$23*N32+Summary!$C$24*O32+Summary!$C$25*P32+Summary!$C$26*Q32</f>
        <v>0</v>
      </c>
      <c r="X32" t="s">
        <v>72</v>
      </c>
      <c r="Y32">
        <v>95</v>
      </c>
      <c r="Z32">
        <v>95</v>
      </c>
      <c r="AF32" s="79"/>
      <c r="AG32" s="79"/>
      <c r="AH32" s="79"/>
      <c r="AI32" s="79"/>
      <c r="AJ32" s="81"/>
      <c r="AK32" s="79"/>
      <c r="AL32" s="30"/>
      <c r="AM32" s="29"/>
    </row>
    <row r="33" spans="1:39" x14ac:dyDescent="0.3">
      <c r="A33">
        <v>30</v>
      </c>
      <c r="B33" s="110">
        <f t="shared" si="1"/>
        <v>-2780</v>
      </c>
      <c r="C33" s="103">
        <f t="shared" si="2"/>
        <v>3960</v>
      </c>
      <c r="D33" s="103">
        <f t="shared" si="4"/>
        <v>1110</v>
      </c>
      <c r="E33" s="103">
        <f t="shared" si="4"/>
        <v>150</v>
      </c>
      <c r="F33" s="103">
        <f t="shared" si="4"/>
        <v>300</v>
      </c>
      <c r="G33" s="103">
        <f t="shared" si="4"/>
        <v>350</v>
      </c>
      <c r="H33" s="103">
        <f t="shared" si="4"/>
        <v>250</v>
      </c>
      <c r="I33" s="103">
        <f t="shared" si="4"/>
        <v>900</v>
      </c>
      <c r="J33" s="103">
        <f t="shared" si="4"/>
        <v>900</v>
      </c>
      <c r="K33" s="119"/>
      <c r="L33" s="119"/>
      <c r="M33" s="119"/>
      <c r="N33" s="119"/>
      <c r="O33" s="119"/>
      <c r="P33" s="119"/>
      <c r="Q33" s="119"/>
      <c r="R33" s="46" t="s">
        <v>75</v>
      </c>
      <c r="S33" s="46"/>
      <c r="T33" s="46">
        <v>95</v>
      </c>
      <c r="U33" s="46">
        <v>0</v>
      </c>
      <c r="V33" s="107">
        <f t="shared" si="3"/>
        <v>0</v>
      </c>
      <c r="W33" s="106">
        <f>Summary!$C$20*K33+Summary!$C$21*L33+Summary!$C$22*M33+Summary!$C$23*N33+Summary!$C$24*O33+Summary!$C$25*P33+Summary!$C$26*Q33</f>
        <v>0</v>
      </c>
      <c r="X33" t="s">
        <v>72</v>
      </c>
      <c r="Y33">
        <v>95</v>
      </c>
      <c r="Z33">
        <v>95</v>
      </c>
      <c r="AF33" s="79"/>
      <c r="AG33" s="79"/>
      <c r="AH33" s="79"/>
      <c r="AI33" s="79"/>
      <c r="AJ33" s="79"/>
      <c r="AK33" s="79"/>
      <c r="AL33" s="30"/>
      <c r="AM33" s="29"/>
    </row>
    <row r="34" spans="1:39" x14ac:dyDescent="0.3">
      <c r="A34">
        <v>31</v>
      </c>
      <c r="B34" s="110">
        <f t="shared" si="1"/>
        <v>-2780</v>
      </c>
      <c r="C34" s="103">
        <f t="shared" si="2"/>
        <v>3960</v>
      </c>
      <c r="D34" s="103">
        <f t="shared" si="4"/>
        <v>1110</v>
      </c>
      <c r="E34" s="103">
        <f t="shared" si="4"/>
        <v>150</v>
      </c>
      <c r="F34" s="103">
        <f t="shared" si="4"/>
        <v>300</v>
      </c>
      <c r="G34" s="103">
        <f t="shared" si="4"/>
        <v>350</v>
      </c>
      <c r="H34" s="103">
        <f t="shared" si="4"/>
        <v>250</v>
      </c>
      <c r="I34" s="103">
        <f t="shared" si="4"/>
        <v>900</v>
      </c>
      <c r="J34" s="103">
        <f t="shared" si="4"/>
        <v>900</v>
      </c>
      <c r="K34" s="119"/>
      <c r="L34" s="119"/>
      <c r="M34" s="119"/>
      <c r="N34" s="119"/>
      <c r="O34" s="119"/>
      <c r="P34" s="119"/>
      <c r="Q34" s="119"/>
      <c r="R34" s="46"/>
      <c r="S34" s="46"/>
      <c r="T34" s="46"/>
      <c r="U34" s="46"/>
      <c r="V34" s="107">
        <f t="shared" si="3"/>
        <v>0</v>
      </c>
      <c r="W34" s="106">
        <f>Summary!$C$20*K34+Summary!$C$21*L34+Summary!$C$22*M34+Summary!$C$23*N34+Summary!$C$24*O34+Summary!$C$25*P34+Summary!$C$26*Q34</f>
        <v>0</v>
      </c>
      <c r="AF34" s="79"/>
      <c r="AG34" s="79"/>
      <c r="AH34" s="79"/>
      <c r="AI34" s="79"/>
      <c r="AJ34" s="79"/>
      <c r="AK34" s="79"/>
      <c r="AL34" s="30"/>
      <c r="AM34" s="29"/>
    </row>
    <row r="35" spans="1:39" x14ac:dyDescent="0.3">
      <c r="A35">
        <v>32</v>
      </c>
      <c r="B35" s="110">
        <f t="shared" si="1"/>
        <v>-2780</v>
      </c>
      <c r="C35" s="103">
        <f t="shared" si="2"/>
        <v>3960</v>
      </c>
      <c r="D35" s="103">
        <f t="shared" si="4"/>
        <v>1110</v>
      </c>
      <c r="E35" s="103">
        <f t="shared" si="4"/>
        <v>150</v>
      </c>
      <c r="F35" s="103">
        <f t="shared" si="4"/>
        <v>300</v>
      </c>
      <c r="G35" s="103">
        <f t="shared" si="4"/>
        <v>350</v>
      </c>
      <c r="H35" s="103">
        <f t="shared" si="4"/>
        <v>250</v>
      </c>
      <c r="I35" s="103">
        <f t="shared" si="4"/>
        <v>900</v>
      </c>
      <c r="J35" s="103">
        <f t="shared" si="4"/>
        <v>900</v>
      </c>
      <c r="K35" s="119"/>
      <c r="L35" s="119"/>
      <c r="M35" s="119"/>
      <c r="N35" s="119"/>
      <c r="O35" s="119"/>
      <c r="P35" s="119"/>
      <c r="Q35" s="119"/>
      <c r="R35" s="46"/>
      <c r="S35" s="46"/>
      <c r="T35" s="46"/>
      <c r="U35" s="46"/>
      <c r="V35" s="107">
        <f t="shared" si="3"/>
        <v>0</v>
      </c>
      <c r="W35" s="106">
        <f>Summary!$C$20*K35+Summary!$C$21*L35+Summary!$C$22*M35+Summary!$C$23*N35+Summary!$C$24*O35+Summary!$C$25*P35+Summary!$C$26*Q35</f>
        <v>0</v>
      </c>
      <c r="AF35" s="79"/>
      <c r="AG35" s="79"/>
      <c r="AH35" s="79"/>
      <c r="AI35" s="79"/>
      <c r="AJ35" s="79"/>
      <c r="AK35" s="79"/>
      <c r="AL35" s="30"/>
      <c r="AM35" s="29"/>
    </row>
    <row r="36" spans="1:39" x14ac:dyDescent="0.3">
      <c r="A36">
        <v>33</v>
      </c>
      <c r="B36" s="110">
        <f t="shared" si="1"/>
        <v>-2780</v>
      </c>
      <c r="C36" s="103">
        <f t="shared" si="2"/>
        <v>3960</v>
      </c>
      <c r="D36" s="103">
        <f t="shared" ref="D36:J43" si="5">D35-K36</f>
        <v>1110</v>
      </c>
      <c r="E36" s="103">
        <f t="shared" si="5"/>
        <v>150</v>
      </c>
      <c r="F36" s="103">
        <f t="shared" si="5"/>
        <v>300</v>
      </c>
      <c r="G36" s="103">
        <f t="shared" si="5"/>
        <v>350</v>
      </c>
      <c r="H36" s="103">
        <f t="shared" si="5"/>
        <v>250</v>
      </c>
      <c r="I36" s="103">
        <f t="shared" si="5"/>
        <v>900</v>
      </c>
      <c r="J36" s="103">
        <f>J35-Q36</f>
        <v>900</v>
      </c>
      <c r="K36" s="119"/>
      <c r="L36" s="119"/>
      <c r="M36" s="119"/>
      <c r="N36" s="119"/>
      <c r="O36" s="119"/>
      <c r="P36" s="119"/>
      <c r="Q36" s="119"/>
      <c r="R36" s="46"/>
      <c r="S36" s="46"/>
      <c r="T36" s="46"/>
      <c r="U36" s="46"/>
      <c r="V36" s="107">
        <f t="shared" si="3"/>
        <v>0</v>
      </c>
      <c r="W36" s="106">
        <f>Summary!$C$20*K36+Summary!$C$21*L36+Summary!$C$22*M36+Summary!$C$23*N36+Summary!$C$24*O36+Summary!$C$25*P36+Summary!$C$26*Q36</f>
        <v>0</v>
      </c>
      <c r="AF36" s="79"/>
      <c r="AG36" s="79"/>
      <c r="AH36" s="79"/>
      <c r="AI36" s="79"/>
      <c r="AJ36" s="79"/>
      <c r="AK36" s="79"/>
      <c r="AL36" s="30"/>
      <c r="AM36" s="29"/>
    </row>
    <row r="37" spans="1:39" x14ac:dyDescent="0.3">
      <c r="A37">
        <v>34</v>
      </c>
      <c r="B37" s="110">
        <f t="shared" si="1"/>
        <v>-2780</v>
      </c>
      <c r="C37" s="103">
        <f t="shared" si="2"/>
        <v>3960</v>
      </c>
      <c r="D37" s="103">
        <f t="shared" si="5"/>
        <v>1110</v>
      </c>
      <c r="E37" s="103">
        <f t="shared" si="5"/>
        <v>150</v>
      </c>
      <c r="F37" s="103">
        <f t="shared" si="5"/>
        <v>300</v>
      </c>
      <c r="G37" s="103">
        <f t="shared" si="5"/>
        <v>350</v>
      </c>
      <c r="H37" s="103">
        <f t="shared" si="5"/>
        <v>250</v>
      </c>
      <c r="I37" s="103">
        <f t="shared" si="5"/>
        <v>900</v>
      </c>
      <c r="J37" s="103">
        <f t="shared" si="5"/>
        <v>900</v>
      </c>
      <c r="K37" s="119"/>
      <c r="L37" s="119"/>
      <c r="M37" s="119"/>
      <c r="N37" s="119"/>
      <c r="O37" s="119"/>
      <c r="P37" s="119"/>
      <c r="Q37" s="119"/>
      <c r="R37" s="46"/>
      <c r="S37" s="46"/>
      <c r="T37" s="46"/>
      <c r="U37" s="46"/>
      <c r="V37" s="107">
        <f>SUM(K37:Q37)</f>
        <v>0</v>
      </c>
      <c r="W37" s="106">
        <f>Summary!$C$20*K37+Summary!$C$21*L37+Summary!$C$22*M37+Summary!$C$23*N37+Summary!$C$24*O37+Summary!$C$25*P37+Summary!$C$26*Q37</f>
        <v>0</v>
      </c>
      <c r="AF37" s="30"/>
      <c r="AG37" s="30"/>
      <c r="AH37" s="30"/>
      <c r="AI37" s="30"/>
      <c r="AJ37" s="30"/>
      <c r="AL37" s="30"/>
      <c r="AM37" s="29"/>
    </row>
    <row r="38" spans="1:39" x14ac:dyDescent="0.3">
      <c r="A38">
        <v>35</v>
      </c>
      <c r="B38" s="110">
        <f t="shared" si="1"/>
        <v>-2780</v>
      </c>
      <c r="C38" s="103">
        <f t="shared" si="2"/>
        <v>3960</v>
      </c>
      <c r="D38" s="103">
        <f t="shared" si="5"/>
        <v>1110</v>
      </c>
      <c r="E38" s="103">
        <f t="shared" si="5"/>
        <v>150</v>
      </c>
      <c r="F38" s="103">
        <f t="shared" si="5"/>
        <v>300</v>
      </c>
      <c r="G38" s="103">
        <f t="shared" si="5"/>
        <v>350</v>
      </c>
      <c r="H38" s="103">
        <f t="shared" si="5"/>
        <v>250</v>
      </c>
      <c r="I38" s="103">
        <f t="shared" si="5"/>
        <v>900</v>
      </c>
      <c r="J38" s="103">
        <f t="shared" si="5"/>
        <v>900</v>
      </c>
      <c r="K38" s="119"/>
      <c r="L38" s="119"/>
      <c r="M38" s="119"/>
      <c r="N38" s="119"/>
      <c r="O38" s="119"/>
      <c r="P38" s="119"/>
      <c r="Q38" s="119"/>
      <c r="R38" s="46"/>
      <c r="S38" s="46"/>
      <c r="T38" s="46"/>
      <c r="U38" s="46"/>
      <c r="V38" s="107">
        <f t="shared" si="3"/>
        <v>0</v>
      </c>
      <c r="W38" s="106">
        <f>Summary!$C$20*K38+Summary!$C$21*L38+Summary!$C$22*M38+Summary!$C$23*N38+Summary!$C$24*O38+Summary!$C$25*P38+Summary!$C$26*Q38</f>
        <v>0</v>
      </c>
    </row>
    <row r="39" spans="1:39" x14ac:dyDescent="0.3">
      <c r="A39">
        <v>36</v>
      </c>
      <c r="B39" s="110">
        <f t="shared" si="1"/>
        <v>-2780</v>
      </c>
      <c r="C39" s="103">
        <f t="shared" si="2"/>
        <v>3960</v>
      </c>
      <c r="D39" s="103">
        <f t="shared" si="5"/>
        <v>1110</v>
      </c>
      <c r="E39" s="103">
        <f t="shared" si="5"/>
        <v>150</v>
      </c>
      <c r="F39" s="103">
        <f t="shared" si="5"/>
        <v>300</v>
      </c>
      <c r="G39" s="103">
        <f t="shared" si="5"/>
        <v>350</v>
      </c>
      <c r="H39" s="103">
        <f t="shared" si="5"/>
        <v>250</v>
      </c>
      <c r="I39" s="103">
        <f t="shared" si="5"/>
        <v>900</v>
      </c>
      <c r="J39" s="103">
        <f t="shared" si="5"/>
        <v>900</v>
      </c>
      <c r="K39" s="119"/>
      <c r="L39" s="119"/>
      <c r="M39" s="119"/>
      <c r="N39" s="119"/>
      <c r="O39" s="119"/>
      <c r="P39" s="119"/>
      <c r="Q39" s="119"/>
      <c r="R39" s="46"/>
      <c r="S39" s="46"/>
      <c r="T39" s="46"/>
      <c r="U39" s="46"/>
      <c r="V39" s="107">
        <f t="shared" si="3"/>
        <v>0</v>
      </c>
      <c r="W39" s="106">
        <f>Summary!$C$20*K39+Summary!$C$21*L39+Summary!$C$22*M39+Summary!$C$23*N39+Summary!$C$24*O39+Summary!$C$25*P39+Summary!$C$26*Q39</f>
        <v>0</v>
      </c>
    </row>
    <row r="40" spans="1:39" x14ac:dyDescent="0.3">
      <c r="A40">
        <v>37</v>
      </c>
      <c r="B40" s="110">
        <f t="shared" si="1"/>
        <v>-2780</v>
      </c>
      <c r="C40" s="103">
        <f t="shared" si="2"/>
        <v>3960</v>
      </c>
      <c r="D40" s="103">
        <f t="shared" si="5"/>
        <v>1110</v>
      </c>
      <c r="E40" s="103">
        <f t="shared" si="5"/>
        <v>150</v>
      </c>
      <c r="F40" s="103">
        <f t="shared" si="5"/>
        <v>300</v>
      </c>
      <c r="G40" s="103">
        <f t="shared" si="5"/>
        <v>350</v>
      </c>
      <c r="H40" s="103">
        <f t="shared" si="5"/>
        <v>250</v>
      </c>
      <c r="I40" s="103">
        <f t="shared" si="5"/>
        <v>900</v>
      </c>
      <c r="J40" s="103">
        <f t="shared" si="5"/>
        <v>900</v>
      </c>
      <c r="K40" s="119"/>
      <c r="L40" s="119"/>
      <c r="M40" s="119"/>
      <c r="N40" s="119"/>
      <c r="O40" s="119"/>
      <c r="P40" s="119"/>
      <c r="Q40" s="119"/>
      <c r="R40" s="46"/>
      <c r="S40" s="46"/>
      <c r="T40" s="46"/>
      <c r="U40" s="46"/>
      <c r="V40" s="107">
        <f t="shared" si="3"/>
        <v>0</v>
      </c>
      <c r="W40" s="106">
        <f>Summary!$C$20*K40+Summary!$C$21*L40+Summary!$C$22*M40+Summary!$C$23*N40+Summary!$C$24*O40+Summary!$C$25*P40+Summary!$C$26*Q40</f>
        <v>0</v>
      </c>
    </row>
    <row r="41" spans="1:39" x14ac:dyDescent="0.3">
      <c r="A41">
        <v>38</v>
      </c>
      <c r="B41" s="110">
        <f t="shared" si="1"/>
        <v>-2780</v>
      </c>
      <c r="C41" s="103">
        <f t="shared" si="2"/>
        <v>3960</v>
      </c>
      <c r="D41" s="103">
        <f t="shared" si="5"/>
        <v>1110</v>
      </c>
      <c r="E41" s="103">
        <f t="shared" si="5"/>
        <v>150</v>
      </c>
      <c r="F41" s="103">
        <f t="shared" si="5"/>
        <v>300</v>
      </c>
      <c r="G41" s="103">
        <f t="shared" si="5"/>
        <v>350</v>
      </c>
      <c r="H41" s="103">
        <f t="shared" si="5"/>
        <v>250</v>
      </c>
      <c r="I41" s="103">
        <f t="shared" si="5"/>
        <v>900</v>
      </c>
      <c r="J41" s="103">
        <f t="shared" si="5"/>
        <v>900</v>
      </c>
      <c r="K41" s="119"/>
      <c r="L41" s="119"/>
      <c r="M41" s="119"/>
      <c r="N41" s="119"/>
      <c r="O41" s="119"/>
      <c r="P41" s="119"/>
      <c r="Q41" s="119"/>
      <c r="R41" s="46"/>
      <c r="S41" s="46"/>
      <c r="T41" s="46"/>
      <c r="U41" s="46"/>
      <c r="V41" s="107">
        <f t="shared" si="3"/>
        <v>0</v>
      </c>
      <c r="W41" s="106">
        <f>Summary!$C$20*K41+Summary!$C$21*L41+Summary!$C$22*M41+Summary!$C$23*N41+Summary!$C$24*O41+Summary!$C$25*P41+Summary!$C$26*Q41</f>
        <v>0</v>
      </c>
    </row>
    <row r="42" spans="1:39" x14ac:dyDescent="0.3">
      <c r="A42">
        <v>39</v>
      </c>
      <c r="B42" s="110">
        <f t="shared" si="1"/>
        <v>-2780</v>
      </c>
      <c r="C42" s="103">
        <f t="shared" si="2"/>
        <v>3960</v>
      </c>
      <c r="D42" s="103">
        <f t="shared" si="5"/>
        <v>1110</v>
      </c>
      <c r="E42" s="103">
        <f t="shared" si="5"/>
        <v>150</v>
      </c>
      <c r="F42" s="103">
        <f t="shared" si="5"/>
        <v>300</v>
      </c>
      <c r="G42" s="103">
        <f t="shared" si="5"/>
        <v>350</v>
      </c>
      <c r="H42" s="103">
        <f t="shared" si="5"/>
        <v>250</v>
      </c>
      <c r="I42" s="103">
        <f t="shared" si="5"/>
        <v>900</v>
      </c>
      <c r="J42" s="103">
        <f t="shared" si="5"/>
        <v>900</v>
      </c>
      <c r="K42" s="119"/>
      <c r="L42" s="119"/>
      <c r="M42" s="119"/>
      <c r="N42" s="119"/>
      <c r="O42" s="119"/>
      <c r="P42" s="119"/>
      <c r="Q42" s="119"/>
      <c r="R42" s="46"/>
      <c r="S42" s="46"/>
      <c r="T42" s="46"/>
      <c r="U42" s="46"/>
      <c r="V42" s="107">
        <f t="shared" si="3"/>
        <v>0</v>
      </c>
      <c r="W42" s="106">
        <f>Summary!$C$20*K42+Summary!$C$21*L42+Summary!$C$22*M42+Summary!$C$23*N42+Summary!$C$24*O42+Summary!$C$25*P42+Summary!$C$26*Q42</f>
        <v>0</v>
      </c>
    </row>
    <row r="43" spans="1:39" x14ac:dyDescent="0.3">
      <c r="A43">
        <v>40</v>
      </c>
      <c r="B43" s="110">
        <f t="shared" si="1"/>
        <v>-2780</v>
      </c>
      <c r="C43" s="103">
        <f t="shared" si="2"/>
        <v>3960</v>
      </c>
      <c r="D43" s="103">
        <f t="shared" si="5"/>
        <v>1110</v>
      </c>
      <c r="E43" s="103">
        <f t="shared" si="5"/>
        <v>150</v>
      </c>
      <c r="F43" s="103">
        <f t="shared" si="5"/>
        <v>300</v>
      </c>
      <c r="G43" s="103">
        <f t="shared" si="5"/>
        <v>350</v>
      </c>
      <c r="H43" s="103">
        <f t="shared" si="5"/>
        <v>250</v>
      </c>
      <c r="I43" s="103">
        <f t="shared" si="5"/>
        <v>900</v>
      </c>
      <c r="J43" s="103">
        <f t="shared" si="5"/>
        <v>900</v>
      </c>
      <c r="K43" s="119"/>
      <c r="L43" s="119"/>
      <c r="M43" s="119"/>
      <c r="N43" s="119"/>
      <c r="O43" s="119"/>
      <c r="P43" s="119"/>
      <c r="Q43" s="119"/>
      <c r="R43" s="46"/>
      <c r="S43" s="46"/>
      <c r="T43" s="46"/>
      <c r="U43" s="46"/>
      <c r="V43" s="107">
        <f t="shared" si="3"/>
        <v>0</v>
      </c>
      <c r="W43" s="106">
        <f>Summary!$C$20*K43+Summary!$C$21*L43+Summary!$C$22*M43+Summary!$C$23*N43+Summary!$C$24*O43+Summary!$C$25*P43+Summary!$C$26*Q43</f>
        <v>0</v>
      </c>
    </row>
    <row r="44" spans="1:39" x14ac:dyDescent="0.3">
      <c r="B44" s="50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</row>
    <row r="45" spans="1:39" x14ac:dyDescent="0.3">
      <c r="B45" s="50"/>
      <c r="C45" s="46"/>
      <c r="D45" s="46"/>
      <c r="E45" s="46"/>
      <c r="F45" s="46"/>
      <c r="G45" s="46"/>
      <c r="H45" s="46"/>
      <c r="I45" s="46"/>
      <c r="J45" s="46" t="s">
        <v>208</v>
      </c>
      <c r="K45" s="103">
        <f>SUM(K4:K43)</f>
        <v>0</v>
      </c>
      <c r="L45" s="103">
        <f t="shared" ref="L45:Q45" si="6">SUM(L4:L43)</f>
        <v>0</v>
      </c>
      <c r="M45" s="103">
        <f t="shared" si="6"/>
        <v>0</v>
      </c>
      <c r="N45" s="103">
        <f t="shared" si="6"/>
        <v>0</v>
      </c>
      <c r="O45" s="103">
        <f t="shared" si="6"/>
        <v>0</v>
      </c>
      <c r="P45" s="103">
        <f t="shared" si="6"/>
        <v>0</v>
      </c>
      <c r="Q45" s="103">
        <f t="shared" si="6"/>
        <v>0</v>
      </c>
      <c r="R45" s="46"/>
      <c r="S45" s="46"/>
      <c r="T45" s="46"/>
      <c r="U45" s="46"/>
      <c r="V45" s="46"/>
      <c r="W45" s="109">
        <f t="shared" ref="W45" si="7">SUM(W4:W43)</f>
        <v>0</v>
      </c>
    </row>
    <row r="46" spans="1:39" x14ac:dyDescent="0.3">
      <c r="B46" s="50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</row>
    <row r="47" spans="1:39" x14ac:dyDescent="0.3">
      <c r="Q47" s="40" t="s">
        <v>86</v>
      </c>
      <c r="V47" s="116">
        <f>AVERAGE(V4:V33)</f>
        <v>0</v>
      </c>
      <c r="W47" t="s">
        <v>87</v>
      </c>
    </row>
    <row r="48" spans="1:39" x14ac:dyDescent="0.3">
      <c r="Q48" s="40" t="s">
        <v>88</v>
      </c>
      <c r="V48" s="113">
        <f>AVERAGE(V4:V43)</f>
        <v>0</v>
      </c>
      <c r="W48" t="s">
        <v>87</v>
      </c>
    </row>
    <row r="49" spans="17:33" x14ac:dyDescent="0.3">
      <c r="Q49" s="40"/>
      <c r="W49" s="28"/>
    </row>
    <row r="50" spans="17:33" x14ac:dyDescent="0.3">
      <c r="Q50" s="40" t="s">
        <v>89</v>
      </c>
      <c r="V50" s="114">
        <f>SUM(V4:V43)</f>
        <v>0</v>
      </c>
      <c r="W50" t="s">
        <v>90</v>
      </c>
    </row>
    <row r="51" spans="17:33" x14ac:dyDescent="0.3">
      <c r="Q51" s="40" t="s">
        <v>91</v>
      </c>
      <c r="V51" s="97">
        <f>C3</f>
        <v>1050</v>
      </c>
      <c r="W51" t="s">
        <v>90</v>
      </c>
    </row>
    <row r="52" spans="17:33" x14ac:dyDescent="0.3">
      <c r="Q52" s="40" t="s">
        <v>92</v>
      </c>
      <c r="V52">
        <v>2910</v>
      </c>
      <c r="W52" t="s">
        <v>90</v>
      </c>
    </row>
    <row r="53" spans="17:33" x14ac:dyDescent="0.3">
      <c r="Q53" s="40" t="s">
        <v>93</v>
      </c>
      <c r="V53" s="117">
        <f>C44</f>
        <v>0</v>
      </c>
      <c r="W53" t="s">
        <v>90</v>
      </c>
      <c r="AG53" s="28">
        <f>V51+V52</f>
        <v>3960</v>
      </c>
    </row>
    <row r="54" spans="17:33" x14ac:dyDescent="0.3">
      <c r="Q54" s="40"/>
      <c r="W54" s="28"/>
      <c r="AG54" s="38">
        <f>AG53-V50</f>
        <v>3960</v>
      </c>
    </row>
    <row r="55" spans="17:33" x14ac:dyDescent="0.3">
      <c r="Q55" s="40" t="s">
        <v>94</v>
      </c>
      <c r="V55" s="112"/>
      <c r="W55" t="s">
        <v>95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0D64-F10B-462C-A9AC-689B14C0E60A}">
  <dimension ref="A1:AM55"/>
  <sheetViews>
    <sheetView tabSelected="1" zoomScale="224" zoomScaleNormal="224" workbookViewId="0">
      <pane xSplit="1" ySplit="2" topLeftCell="K43" activePane="bottomRight" state="frozen"/>
      <selection pane="topRight" activeCell="B1" sqref="B1"/>
      <selection pane="bottomLeft" activeCell="A2" sqref="A2"/>
      <selection pane="bottomRight" activeCell="N43" sqref="N43"/>
    </sheetView>
  </sheetViews>
  <sheetFormatPr defaultRowHeight="14.4" x14ac:dyDescent="0.3"/>
  <cols>
    <col min="1" max="1" width="7.33203125" customWidth="1"/>
    <col min="2" max="2" width="10.88671875" customWidth="1"/>
    <col min="3" max="3" width="12.33203125" customWidth="1"/>
    <col min="4" max="10" width="10.6640625" customWidth="1"/>
    <col min="11" max="11" width="10.44140625" customWidth="1"/>
    <col min="12" max="17" width="7.5546875" customWidth="1"/>
    <col min="18" max="18" width="14.33203125" hidden="1" customWidth="1"/>
    <col min="19" max="19" width="16.33203125" hidden="1" customWidth="1"/>
    <col min="20" max="20" width="12.6640625" hidden="1" customWidth="1"/>
    <col min="21" max="21" width="14.88671875" hidden="1" customWidth="1"/>
    <col min="22" max="22" width="12" customWidth="1"/>
    <col min="23" max="23" width="12.88671875" customWidth="1"/>
    <col min="24" max="26" width="15.6640625" hidden="1" customWidth="1"/>
    <col min="27" max="27" width="8.6640625" hidden="1" customWidth="1"/>
    <col min="28" max="31" width="9.109375" hidden="1" customWidth="1"/>
    <col min="32" max="33" width="16.5546875" style="28" customWidth="1"/>
    <col min="34" max="34" width="13.44140625" style="28" customWidth="1"/>
    <col min="35" max="35" width="13.88671875" style="28" customWidth="1"/>
    <col min="36" max="36" width="16.5546875" style="28" customWidth="1"/>
    <col min="37" max="37" width="23.88671875" style="28" customWidth="1"/>
    <col min="38" max="38" width="16.5546875" style="28" customWidth="1"/>
  </cols>
  <sheetData>
    <row r="1" spans="1:39" x14ac:dyDescent="0.3">
      <c r="B1" t="s">
        <v>8</v>
      </c>
      <c r="D1" t="s">
        <v>9</v>
      </c>
      <c r="E1" t="s">
        <v>216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9</v>
      </c>
      <c r="L1" t="s">
        <v>216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39" ht="30" customHeight="1" x14ac:dyDescent="0.3">
      <c r="A2" s="1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31</v>
      </c>
      <c r="Q2" s="7" t="s">
        <v>32</v>
      </c>
      <c r="R2" s="7" t="s">
        <v>33</v>
      </c>
      <c r="S2" s="7" t="s">
        <v>34</v>
      </c>
      <c r="T2" s="7" t="s">
        <v>35</v>
      </c>
      <c r="U2" s="7" t="s">
        <v>36</v>
      </c>
      <c r="V2" s="7" t="s">
        <v>37</v>
      </c>
      <c r="W2" s="7" t="s">
        <v>209</v>
      </c>
      <c r="X2" s="1" t="s">
        <v>38</v>
      </c>
      <c r="Y2" s="1" t="s">
        <v>39</v>
      </c>
      <c r="Z2" s="1" t="s">
        <v>40</v>
      </c>
      <c r="AA2" s="2" t="s">
        <v>41</v>
      </c>
      <c r="AB2" s="2" t="s">
        <v>42</v>
      </c>
      <c r="AC2" s="2" t="s">
        <v>43</v>
      </c>
      <c r="AD2" s="2" t="s">
        <v>44</v>
      </c>
      <c r="AE2" s="2" t="s">
        <v>45</v>
      </c>
      <c r="AF2" s="7" t="s">
        <v>46</v>
      </c>
      <c r="AG2" s="7" t="s">
        <v>47</v>
      </c>
      <c r="AH2" s="7" t="s">
        <v>48</v>
      </c>
      <c r="AI2" s="7" t="s">
        <v>49</v>
      </c>
      <c r="AJ2" s="7" t="s">
        <v>50</v>
      </c>
      <c r="AK2" s="1" t="s">
        <v>51</v>
      </c>
      <c r="AL2" s="1" t="s">
        <v>52</v>
      </c>
    </row>
    <row r="3" spans="1:39" x14ac:dyDescent="0.3">
      <c r="A3" s="76">
        <v>0</v>
      </c>
      <c r="B3" s="77">
        <f>1180-C3</f>
        <v>393</v>
      </c>
      <c r="C3" s="78">
        <f>SUM(D3:J3)</f>
        <v>787</v>
      </c>
      <c r="D3" s="78">
        <f>215+139</f>
        <v>354</v>
      </c>
      <c r="E3" s="78">
        <v>0</v>
      </c>
      <c r="F3" s="78">
        <v>0</v>
      </c>
      <c r="G3" s="78">
        <v>0</v>
      </c>
      <c r="H3" s="78">
        <v>0</v>
      </c>
      <c r="I3" s="78">
        <v>0</v>
      </c>
      <c r="J3" s="78">
        <f>51+286+96</f>
        <v>433</v>
      </c>
      <c r="K3" s="78">
        <v>0</v>
      </c>
      <c r="L3" s="78">
        <v>0</v>
      </c>
      <c r="M3" s="78">
        <v>0</v>
      </c>
      <c r="N3" s="78">
        <v>0</v>
      </c>
      <c r="O3" s="78">
        <v>0</v>
      </c>
      <c r="P3" s="78">
        <v>0</v>
      </c>
      <c r="Q3" s="78">
        <v>0</v>
      </c>
      <c r="R3" s="78"/>
      <c r="S3" s="78"/>
      <c r="T3" s="78"/>
      <c r="U3" s="78"/>
      <c r="V3" s="78">
        <v>0</v>
      </c>
      <c r="W3" s="78"/>
      <c r="X3" s="5"/>
      <c r="Y3" s="5"/>
      <c r="Z3" s="5"/>
      <c r="AA3" s="5"/>
      <c r="AB3" s="5"/>
      <c r="AC3" s="5"/>
      <c r="AD3" s="5"/>
      <c r="AE3" s="5"/>
      <c r="AF3" s="54"/>
      <c r="AG3" s="54"/>
      <c r="AH3" s="54"/>
      <c r="AI3" s="54"/>
      <c r="AJ3" s="54"/>
      <c r="AK3" s="54"/>
      <c r="AL3" s="54"/>
      <c r="AM3" s="29"/>
    </row>
    <row r="4" spans="1:39" ht="13.95" customHeight="1" x14ac:dyDescent="0.3">
      <c r="A4">
        <v>1</v>
      </c>
      <c r="B4" s="50">
        <f>1180-C4</f>
        <v>158</v>
      </c>
      <c r="C4" s="46">
        <f>SUM(D4:J4)</f>
        <v>1022</v>
      </c>
      <c r="D4" s="128">
        <f>D3-K4+160</f>
        <v>514</v>
      </c>
      <c r="E4" s="46">
        <f t="shared" ref="E4:H4" si="0">E3-L4</f>
        <v>0</v>
      </c>
      <c r="F4" s="46">
        <f t="shared" si="0"/>
        <v>0</v>
      </c>
      <c r="G4" s="128">
        <f>G3-N4+170</f>
        <v>170</v>
      </c>
      <c r="H4" s="46">
        <f t="shared" si="0"/>
        <v>0</v>
      </c>
      <c r="I4" s="46">
        <f>I3-P4</f>
        <v>0</v>
      </c>
      <c r="J4" s="46">
        <f>J3-Q4</f>
        <v>338</v>
      </c>
      <c r="K4" s="46"/>
      <c r="L4" s="46"/>
      <c r="M4" s="46"/>
      <c r="N4" s="46"/>
      <c r="O4" s="46"/>
      <c r="P4" s="46"/>
      <c r="Q4" s="46">
        <v>95</v>
      </c>
      <c r="R4" s="46" t="s">
        <v>53</v>
      </c>
      <c r="S4" s="46" t="s">
        <v>54</v>
      </c>
      <c r="T4" s="46">
        <v>57.599999999999987</v>
      </c>
      <c r="U4" s="46">
        <v>38.4</v>
      </c>
      <c r="V4" s="63">
        <f>SUM(K4:Q4)</f>
        <v>95</v>
      </c>
      <c r="W4" s="106">
        <f>Summary!$C$20*K4+Summary!$C$21*L4+Summary!$C$22*M4+Summary!$C$23*N4+Summary!$C$24*O4+Summary!$C$25*P4+Summary!$C$26*Q4</f>
        <v>947.15000000000009</v>
      </c>
      <c r="X4" t="s">
        <v>55</v>
      </c>
      <c r="Y4">
        <v>96</v>
      </c>
      <c r="Z4">
        <v>96</v>
      </c>
      <c r="AF4" s="79" t="s">
        <v>56</v>
      </c>
      <c r="AG4" s="80"/>
      <c r="AH4" s="80"/>
      <c r="AI4" s="80"/>
      <c r="AJ4" s="80"/>
      <c r="AK4" s="80"/>
      <c r="AL4" s="30"/>
      <c r="AM4" s="29"/>
    </row>
    <row r="5" spans="1:39" x14ac:dyDescent="0.3">
      <c r="A5">
        <v>2</v>
      </c>
      <c r="B5" s="50">
        <f t="shared" ref="B5:B44" si="1">1180-C5</f>
        <v>253</v>
      </c>
      <c r="C5" s="46">
        <f t="shared" ref="C5:C43" si="2">SUM(D5:J5)</f>
        <v>927</v>
      </c>
      <c r="D5" s="128">
        <f t="shared" ref="D5:D44" si="3">D4-K5</f>
        <v>514</v>
      </c>
      <c r="E5" s="46">
        <f t="shared" ref="E5:E44" si="4">E4-L5</f>
        <v>0</v>
      </c>
      <c r="F5" s="46">
        <f t="shared" ref="F5:F44" si="5">F4-M5</f>
        <v>0</v>
      </c>
      <c r="G5" s="128">
        <f t="shared" ref="G5:G44" si="6">G4-N5</f>
        <v>170</v>
      </c>
      <c r="H5" s="46">
        <f t="shared" ref="H5:H43" si="7">H4-O5</f>
        <v>0</v>
      </c>
      <c r="I5" s="46">
        <f t="shared" ref="I5:I44" si="8">I4-P5</f>
        <v>0</v>
      </c>
      <c r="J5" s="46">
        <f t="shared" ref="J5:J44" si="9">J4-Q5</f>
        <v>243</v>
      </c>
      <c r="K5" s="46"/>
      <c r="L5" s="46"/>
      <c r="M5" s="46"/>
      <c r="N5" s="46"/>
      <c r="O5" s="46"/>
      <c r="P5" s="46"/>
      <c r="Q5" s="46">
        <v>95</v>
      </c>
      <c r="R5" s="46" t="s">
        <v>53</v>
      </c>
      <c r="S5" s="46" t="s">
        <v>54</v>
      </c>
      <c r="T5" s="46">
        <v>57.599999999999987</v>
      </c>
      <c r="U5" s="46">
        <v>38.4</v>
      </c>
      <c r="V5" s="63">
        <f t="shared" ref="V5:V43" si="10">SUM(K5:Q5)</f>
        <v>95</v>
      </c>
      <c r="W5" s="106">
        <f>Summary!$C$20*K5+Summary!$C$21*L5+Summary!$C$22*M5+Summary!$C$23*N5+Summary!$C$24*O5+Summary!$C$25*P5+Summary!$C$26*Q5</f>
        <v>947.15000000000009</v>
      </c>
      <c r="X5" t="s">
        <v>55</v>
      </c>
      <c r="Y5">
        <v>96</v>
      </c>
      <c r="Z5">
        <v>96</v>
      </c>
      <c r="AF5" s="79" t="s">
        <v>57</v>
      </c>
      <c r="AG5" s="80"/>
      <c r="AH5" s="80"/>
      <c r="AI5" s="80"/>
      <c r="AJ5" s="80"/>
      <c r="AK5" s="80"/>
      <c r="AL5" s="30"/>
      <c r="AM5" s="29"/>
    </row>
    <row r="6" spans="1:39" x14ac:dyDescent="0.3">
      <c r="A6">
        <v>3</v>
      </c>
      <c r="B6" s="50">
        <f t="shared" si="1"/>
        <v>348</v>
      </c>
      <c r="C6" s="46">
        <f t="shared" si="2"/>
        <v>832</v>
      </c>
      <c r="D6" s="129">
        <f t="shared" si="3"/>
        <v>514</v>
      </c>
      <c r="E6" s="46">
        <f t="shared" si="4"/>
        <v>0</v>
      </c>
      <c r="F6" s="46">
        <f t="shared" si="5"/>
        <v>0</v>
      </c>
      <c r="G6" s="129">
        <f t="shared" si="6"/>
        <v>170</v>
      </c>
      <c r="H6" s="46">
        <f t="shared" si="7"/>
        <v>0</v>
      </c>
      <c r="I6" s="46">
        <f t="shared" si="8"/>
        <v>0</v>
      </c>
      <c r="J6" s="46">
        <f t="shared" si="9"/>
        <v>148</v>
      </c>
      <c r="K6" s="46"/>
      <c r="L6" s="46"/>
      <c r="M6" s="46"/>
      <c r="N6" s="46"/>
      <c r="O6" s="46"/>
      <c r="P6" s="46"/>
      <c r="Q6" s="46">
        <v>95</v>
      </c>
      <c r="R6" s="46" t="s">
        <v>53</v>
      </c>
      <c r="S6" s="46" t="s">
        <v>54</v>
      </c>
      <c r="T6" s="46">
        <v>34.799999999999997</v>
      </c>
      <c r="U6" s="46">
        <v>23.2</v>
      </c>
      <c r="V6" s="63">
        <f t="shared" si="10"/>
        <v>95</v>
      </c>
      <c r="W6" s="106">
        <f>Summary!$C$20*K6+Summary!$C$21*L6+Summary!$C$22*M6+Summary!$C$23*N6+Summary!$C$24*O6+Summary!$C$25*P6+Summary!$C$26*Q6</f>
        <v>947.15000000000009</v>
      </c>
      <c r="X6" t="s">
        <v>55</v>
      </c>
      <c r="Y6">
        <v>58.000000000000007</v>
      </c>
      <c r="Z6">
        <v>96</v>
      </c>
      <c r="AF6" s="79" t="s">
        <v>58</v>
      </c>
      <c r="AG6" s="80"/>
      <c r="AH6" s="80"/>
      <c r="AI6" s="80"/>
      <c r="AJ6" s="80"/>
      <c r="AK6" s="80"/>
      <c r="AL6" s="30"/>
      <c r="AM6" s="29"/>
    </row>
    <row r="7" spans="1:39" x14ac:dyDescent="0.3">
      <c r="A7">
        <v>4</v>
      </c>
      <c r="B7" s="50">
        <f t="shared" si="1"/>
        <v>93</v>
      </c>
      <c r="C7" s="46">
        <f t="shared" si="2"/>
        <v>1087</v>
      </c>
      <c r="D7" s="129">
        <f t="shared" si="3"/>
        <v>514</v>
      </c>
      <c r="E7" s="46">
        <f t="shared" si="4"/>
        <v>0</v>
      </c>
      <c r="F7" s="46">
        <f t="shared" si="5"/>
        <v>0</v>
      </c>
      <c r="G7" s="129">
        <f t="shared" si="6"/>
        <v>170</v>
      </c>
      <c r="H7" s="46">
        <f t="shared" si="7"/>
        <v>0</v>
      </c>
      <c r="I7" s="128">
        <f>I6-P7+350</f>
        <v>350</v>
      </c>
      <c r="J7" s="46">
        <f t="shared" si="9"/>
        <v>53</v>
      </c>
      <c r="K7" s="46"/>
      <c r="L7" s="46"/>
      <c r="M7" s="46"/>
      <c r="N7" s="46"/>
      <c r="O7" s="46"/>
      <c r="P7" s="46"/>
      <c r="Q7" s="46">
        <v>95</v>
      </c>
      <c r="R7" s="46" t="s">
        <v>59</v>
      </c>
      <c r="S7" s="46" t="s">
        <v>60</v>
      </c>
      <c r="T7" s="46">
        <v>25.65</v>
      </c>
      <c r="U7" s="46">
        <v>69.349999999999994</v>
      </c>
      <c r="V7" s="63">
        <f t="shared" si="10"/>
        <v>95</v>
      </c>
      <c r="W7" s="106">
        <f>Summary!$C$20*K7+Summary!$C$21*L7+Summary!$C$22*M7+Summary!$C$23*N7+Summary!$C$24*O7+Summary!$C$25*P7+Summary!$C$26*Q7</f>
        <v>947.15000000000009</v>
      </c>
      <c r="X7" t="s">
        <v>61</v>
      </c>
      <c r="Y7">
        <v>95</v>
      </c>
      <c r="Z7">
        <v>95</v>
      </c>
      <c r="AF7" s="79" t="s">
        <v>58</v>
      </c>
      <c r="AG7" s="80"/>
      <c r="AH7" s="80"/>
      <c r="AI7" s="80"/>
      <c r="AJ7" s="80"/>
      <c r="AK7" s="80"/>
      <c r="AL7" s="30"/>
      <c r="AM7" s="29"/>
    </row>
    <row r="8" spans="1:39" ht="13.95" customHeight="1" x14ac:dyDescent="0.3">
      <c r="A8">
        <v>5</v>
      </c>
      <c r="B8" s="50">
        <f t="shared" si="1"/>
        <v>188</v>
      </c>
      <c r="C8" s="46">
        <f>SUM(D8:J8)</f>
        <v>992</v>
      </c>
      <c r="D8" s="129">
        <f t="shared" si="3"/>
        <v>484</v>
      </c>
      <c r="E8" s="46">
        <f t="shared" si="4"/>
        <v>0</v>
      </c>
      <c r="F8" s="46">
        <f t="shared" si="5"/>
        <v>0</v>
      </c>
      <c r="G8" s="129">
        <f t="shared" si="6"/>
        <v>158</v>
      </c>
      <c r="H8" s="46">
        <f t="shared" si="7"/>
        <v>0</v>
      </c>
      <c r="I8" s="128">
        <f t="shared" si="8"/>
        <v>350</v>
      </c>
      <c r="J8" s="46">
        <f t="shared" si="9"/>
        <v>0</v>
      </c>
      <c r="K8" s="46">
        <v>30</v>
      </c>
      <c r="L8" s="46"/>
      <c r="M8" s="46"/>
      <c r="N8" s="46">
        <v>12</v>
      </c>
      <c r="O8" s="46"/>
      <c r="P8" s="46"/>
      <c r="Q8" s="46">
        <v>53</v>
      </c>
      <c r="R8" s="46" t="s">
        <v>62</v>
      </c>
      <c r="S8" s="46" t="s">
        <v>60</v>
      </c>
      <c r="T8" s="46">
        <v>25.92</v>
      </c>
      <c r="U8" s="46">
        <v>70.08</v>
      </c>
      <c r="V8" s="63">
        <f t="shared" si="10"/>
        <v>95</v>
      </c>
      <c r="W8" s="106">
        <f>Summary!$C$20*K8+Summary!$C$21*L8+Summary!$C$22*M8+Summary!$C$23*N8+Summary!$C$24*O8+Summary!$C$25*P8+Summary!$C$26*Q8</f>
        <v>1234.79</v>
      </c>
      <c r="X8" t="s">
        <v>61</v>
      </c>
      <c r="Y8">
        <v>96</v>
      </c>
      <c r="Z8">
        <v>96</v>
      </c>
      <c r="AF8" s="79" t="s">
        <v>63</v>
      </c>
      <c r="AG8" s="80" t="s">
        <v>64</v>
      </c>
      <c r="AH8" s="80"/>
      <c r="AI8" s="80"/>
      <c r="AJ8" s="80"/>
      <c r="AK8" s="80"/>
      <c r="AL8" s="30"/>
      <c r="AM8" s="29"/>
    </row>
    <row r="9" spans="1:39" x14ac:dyDescent="0.3">
      <c r="A9">
        <v>6</v>
      </c>
      <c r="B9" s="50">
        <f t="shared" si="1"/>
        <v>203</v>
      </c>
      <c r="C9" s="46">
        <f>SUM(D9:J9)</f>
        <v>977</v>
      </c>
      <c r="D9" s="46">
        <f>D8-K9</f>
        <v>417</v>
      </c>
      <c r="E9" s="46">
        <f>E8-L9</f>
        <v>0</v>
      </c>
      <c r="F9" s="46">
        <f t="shared" si="5"/>
        <v>0</v>
      </c>
      <c r="G9" s="46">
        <f t="shared" si="6"/>
        <v>130</v>
      </c>
      <c r="H9" s="128">
        <f>H8-O9+80</f>
        <v>80</v>
      </c>
      <c r="I9" s="129">
        <f t="shared" si="8"/>
        <v>350</v>
      </c>
      <c r="J9" s="46">
        <f t="shared" si="9"/>
        <v>0</v>
      </c>
      <c r="K9" s="46">
        <v>67</v>
      </c>
      <c r="L9" s="46"/>
      <c r="M9" s="46"/>
      <c r="N9" s="46">
        <v>28</v>
      </c>
      <c r="O9" s="46"/>
      <c r="P9" s="46"/>
      <c r="Q9" s="46"/>
      <c r="R9" s="46" t="s">
        <v>62</v>
      </c>
      <c r="S9" s="46" t="s">
        <v>60</v>
      </c>
      <c r="T9" s="46">
        <v>25.92</v>
      </c>
      <c r="U9" s="46">
        <v>70.08</v>
      </c>
      <c r="V9" s="63">
        <f t="shared" si="10"/>
        <v>95</v>
      </c>
      <c r="W9" s="106">
        <f>Summary!$C$20*K9+Summary!$C$21*L9+Summary!$C$22*M9+Summary!$C$23*N9+Summary!$C$24*O9+Summary!$C$25*P9+Summary!$C$26*Q9</f>
        <v>1600.67</v>
      </c>
      <c r="X9" t="s">
        <v>61</v>
      </c>
      <c r="Y9">
        <v>96</v>
      </c>
      <c r="Z9">
        <v>96</v>
      </c>
      <c r="AF9" s="79" t="s">
        <v>63</v>
      </c>
      <c r="AG9" s="80" t="s">
        <v>65</v>
      </c>
      <c r="AH9" s="80"/>
      <c r="AI9" s="80"/>
      <c r="AJ9" s="80"/>
      <c r="AK9" s="80"/>
      <c r="AL9" s="30"/>
      <c r="AM9" s="29"/>
    </row>
    <row r="10" spans="1:39" x14ac:dyDescent="0.3">
      <c r="A10">
        <v>7</v>
      </c>
      <c r="B10" s="50">
        <f t="shared" si="1"/>
        <v>218</v>
      </c>
      <c r="C10" s="46">
        <f>SUM(D10:J10)</f>
        <v>962</v>
      </c>
      <c r="D10" s="46">
        <f t="shared" si="3"/>
        <v>350</v>
      </c>
      <c r="E10" s="46">
        <f t="shared" si="4"/>
        <v>0</v>
      </c>
      <c r="F10" s="46">
        <f t="shared" si="5"/>
        <v>0</v>
      </c>
      <c r="G10" s="46">
        <f t="shared" si="6"/>
        <v>102</v>
      </c>
      <c r="H10" s="128">
        <f>H9-O10+80</f>
        <v>160</v>
      </c>
      <c r="I10" s="129">
        <f t="shared" si="8"/>
        <v>350</v>
      </c>
      <c r="J10" s="46">
        <f t="shared" si="9"/>
        <v>0</v>
      </c>
      <c r="K10" s="46">
        <v>67</v>
      </c>
      <c r="L10" s="46"/>
      <c r="M10" s="46"/>
      <c r="N10" s="46">
        <v>28</v>
      </c>
      <c r="O10" s="46"/>
      <c r="P10" s="46"/>
      <c r="Q10" s="46"/>
      <c r="R10" s="46" t="s">
        <v>62</v>
      </c>
      <c r="S10" s="46" t="s">
        <v>60</v>
      </c>
      <c r="T10" s="46">
        <v>25.92</v>
      </c>
      <c r="U10" s="46">
        <v>70.08</v>
      </c>
      <c r="V10" s="63">
        <f t="shared" si="10"/>
        <v>95</v>
      </c>
      <c r="W10" s="106">
        <f>Summary!$C$20*K10+Summary!$C$21*L10+Summary!$C$22*M10+Summary!$C$23*N10+Summary!$C$24*O10+Summary!$C$25*P10+Summary!$C$26*Q10</f>
        <v>1600.67</v>
      </c>
      <c r="X10" t="s">
        <v>61</v>
      </c>
      <c r="Y10">
        <v>96</v>
      </c>
      <c r="Z10">
        <v>96</v>
      </c>
      <c r="AF10" s="79" t="s">
        <v>66</v>
      </c>
      <c r="AG10" s="80" t="s">
        <v>67</v>
      </c>
      <c r="AH10" s="80"/>
      <c r="AI10" s="80"/>
      <c r="AJ10" s="80"/>
      <c r="AK10" s="80"/>
      <c r="AL10" s="30"/>
      <c r="AM10" s="29"/>
    </row>
    <row r="11" spans="1:39" x14ac:dyDescent="0.3">
      <c r="A11">
        <v>8</v>
      </c>
      <c r="B11" s="50">
        <f t="shared" si="1"/>
        <v>313</v>
      </c>
      <c r="C11" s="46">
        <f t="shared" si="2"/>
        <v>867</v>
      </c>
      <c r="D11" s="46">
        <f t="shared" si="3"/>
        <v>283</v>
      </c>
      <c r="E11" s="46">
        <f t="shared" si="4"/>
        <v>0</v>
      </c>
      <c r="F11" s="46">
        <f t="shared" si="5"/>
        <v>0</v>
      </c>
      <c r="G11" s="46">
        <f t="shared" si="6"/>
        <v>74</v>
      </c>
      <c r="H11" s="129">
        <f t="shared" si="7"/>
        <v>160</v>
      </c>
      <c r="I11" s="129">
        <f t="shared" si="8"/>
        <v>350</v>
      </c>
      <c r="J11" s="46">
        <f t="shared" si="9"/>
        <v>0</v>
      </c>
      <c r="K11" s="46">
        <v>67</v>
      </c>
      <c r="L11" s="46"/>
      <c r="M11" s="46"/>
      <c r="N11" s="46">
        <v>28</v>
      </c>
      <c r="O11" s="46"/>
      <c r="P11" s="46"/>
      <c r="Q11" s="46"/>
      <c r="R11" s="46" t="s">
        <v>62</v>
      </c>
      <c r="S11" s="46" t="s">
        <v>60</v>
      </c>
      <c r="T11" s="46">
        <v>25.92</v>
      </c>
      <c r="U11" s="46">
        <v>70.08</v>
      </c>
      <c r="V11" s="63">
        <f t="shared" si="10"/>
        <v>95</v>
      </c>
      <c r="W11" s="106">
        <f>Summary!$C$20*K11+Summary!$C$21*L11+Summary!$C$22*M11+Summary!$C$23*N11+Summary!$C$24*O11+Summary!$C$25*P11+Summary!$C$26*Q11</f>
        <v>1600.67</v>
      </c>
      <c r="X11" t="s">
        <v>61</v>
      </c>
      <c r="Y11">
        <v>96</v>
      </c>
      <c r="Z11">
        <v>96</v>
      </c>
      <c r="AF11" s="79" t="s">
        <v>66</v>
      </c>
      <c r="AG11" s="80" t="s">
        <v>58</v>
      </c>
      <c r="AH11" s="81"/>
      <c r="AI11" s="80"/>
      <c r="AJ11" s="80"/>
      <c r="AK11" s="80"/>
      <c r="AM11" s="29"/>
    </row>
    <row r="12" spans="1:39" ht="15" customHeight="1" x14ac:dyDescent="0.3">
      <c r="A12">
        <v>9</v>
      </c>
      <c r="B12" s="50">
        <f t="shared" si="1"/>
        <v>158</v>
      </c>
      <c r="C12" s="46">
        <f t="shared" si="2"/>
        <v>1022</v>
      </c>
      <c r="D12" s="46">
        <f t="shared" si="3"/>
        <v>216</v>
      </c>
      <c r="E12" s="46">
        <f t="shared" si="4"/>
        <v>0</v>
      </c>
      <c r="F12" s="46">
        <f t="shared" si="5"/>
        <v>0</v>
      </c>
      <c r="G12" s="46">
        <f t="shared" si="6"/>
        <v>46</v>
      </c>
      <c r="H12" s="129">
        <f t="shared" si="7"/>
        <v>160</v>
      </c>
      <c r="I12" s="128">
        <f>I11-P12+250</f>
        <v>600</v>
      </c>
      <c r="J12" s="46">
        <f t="shared" si="9"/>
        <v>0</v>
      </c>
      <c r="K12" s="46">
        <v>67</v>
      </c>
      <c r="L12" s="46"/>
      <c r="M12" s="46"/>
      <c r="N12" s="46">
        <v>28</v>
      </c>
      <c r="O12" s="46"/>
      <c r="P12" s="46"/>
      <c r="Q12" s="46"/>
      <c r="R12" s="46" t="s">
        <v>62</v>
      </c>
      <c r="S12" s="46" t="s">
        <v>60</v>
      </c>
      <c r="T12" s="46">
        <v>25.92</v>
      </c>
      <c r="U12" s="46">
        <v>70.08</v>
      </c>
      <c r="V12" s="63">
        <f>SUM(K12:Q12)</f>
        <v>95</v>
      </c>
      <c r="W12" s="106">
        <f>Summary!$C$20*K12+Summary!$C$21*L12+Summary!$C$22*M12+Summary!$C$23*N12+Summary!$C$24*O12+Summary!$C$25*P12+Summary!$C$26*Q12</f>
        <v>1600.67</v>
      </c>
      <c r="X12" t="s">
        <v>61</v>
      </c>
      <c r="Y12">
        <v>96</v>
      </c>
      <c r="Z12">
        <v>96</v>
      </c>
      <c r="AF12" s="79" t="s">
        <v>66</v>
      </c>
      <c r="AG12" s="80" t="s">
        <v>58</v>
      </c>
      <c r="AH12" s="81"/>
      <c r="AI12" s="80"/>
      <c r="AJ12" s="80"/>
      <c r="AK12" s="80"/>
      <c r="AM12" s="29"/>
    </row>
    <row r="13" spans="1:39" x14ac:dyDescent="0.3">
      <c r="A13">
        <v>10</v>
      </c>
      <c r="B13" s="50">
        <f>1180-C13</f>
        <v>253</v>
      </c>
      <c r="C13" s="46">
        <f>SUM(D13:J13)</f>
        <v>927</v>
      </c>
      <c r="D13" s="46">
        <f t="shared" si="3"/>
        <v>149</v>
      </c>
      <c r="E13" s="46">
        <f t="shared" si="4"/>
        <v>0</v>
      </c>
      <c r="F13" s="46">
        <f t="shared" si="5"/>
        <v>0</v>
      </c>
      <c r="G13" s="46">
        <f t="shared" si="6"/>
        <v>18</v>
      </c>
      <c r="H13" s="129">
        <f t="shared" si="7"/>
        <v>160</v>
      </c>
      <c r="I13" s="128">
        <f t="shared" si="8"/>
        <v>600</v>
      </c>
      <c r="J13" s="46">
        <f t="shared" si="9"/>
        <v>0</v>
      </c>
      <c r="K13" s="46">
        <v>67</v>
      </c>
      <c r="L13" s="46"/>
      <c r="M13" s="46"/>
      <c r="N13" s="46">
        <v>28</v>
      </c>
      <c r="O13" s="46"/>
      <c r="P13" s="46"/>
      <c r="Q13" s="46"/>
      <c r="R13" s="46" t="s">
        <v>62</v>
      </c>
      <c r="S13" s="46" t="s">
        <v>60</v>
      </c>
      <c r="T13" s="46">
        <v>20.399999999999991</v>
      </c>
      <c r="U13" s="46">
        <v>55.15555555555553</v>
      </c>
      <c r="V13" s="63">
        <f t="shared" si="10"/>
        <v>95</v>
      </c>
      <c r="W13" s="106">
        <f>Summary!$C$20*K13+Summary!$C$21*L13+Summary!$C$22*M13+Summary!$C$23*N13+Summary!$C$24*O13+Summary!$C$25*P13+Summary!$C$26*Q13</f>
        <v>1600.67</v>
      </c>
      <c r="X13" t="s">
        <v>61</v>
      </c>
      <c r="Y13">
        <v>75.555555555555515</v>
      </c>
      <c r="Z13">
        <v>96</v>
      </c>
      <c r="AF13" s="79" t="s">
        <v>68</v>
      </c>
      <c r="AG13" s="80" t="s">
        <v>58</v>
      </c>
      <c r="AH13" s="80" t="s">
        <v>69</v>
      </c>
      <c r="AI13" s="82"/>
      <c r="AJ13" s="80"/>
      <c r="AK13" s="80"/>
      <c r="AL13"/>
      <c r="AM13" s="29"/>
    </row>
    <row r="14" spans="1:39" x14ac:dyDescent="0.3">
      <c r="A14">
        <v>11</v>
      </c>
      <c r="B14" s="50">
        <f t="shared" si="1"/>
        <v>348</v>
      </c>
      <c r="C14" s="46">
        <f t="shared" si="2"/>
        <v>832</v>
      </c>
      <c r="D14" s="46">
        <f t="shared" si="3"/>
        <v>106</v>
      </c>
      <c r="E14" s="46">
        <f t="shared" si="4"/>
        <v>0</v>
      </c>
      <c r="F14" s="46">
        <f t="shared" si="5"/>
        <v>0</v>
      </c>
      <c r="G14" s="46">
        <f t="shared" si="6"/>
        <v>0</v>
      </c>
      <c r="H14" s="46">
        <f t="shared" si="7"/>
        <v>160</v>
      </c>
      <c r="I14" s="129">
        <f t="shared" si="8"/>
        <v>566</v>
      </c>
      <c r="J14" s="46">
        <f t="shared" si="9"/>
        <v>0</v>
      </c>
      <c r="K14" s="46">
        <v>43</v>
      </c>
      <c r="L14" s="46"/>
      <c r="M14" s="46"/>
      <c r="N14" s="46">
        <v>18</v>
      </c>
      <c r="O14" s="46"/>
      <c r="P14" s="46">
        <v>34</v>
      </c>
      <c r="Q14" s="46"/>
      <c r="R14" s="46" t="s">
        <v>59</v>
      </c>
      <c r="S14" s="46" t="s">
        <v>60</v>
      </c>
      <c r="T14" s="46">
        <v>25.65</v>
      </c>
      <c r="U14" s="46">
        <v>69.349999999999994</v>
      </c>
      <c r="V14" s="63">
        <f t="shared" si="10"/>
        <v>95</v>
      </c>
      <c r="W14" s="106">
        <f>Summary!$C$20*K14+Summary!$C$21*L14+Summary!$C$22*M14+Summary!$C$23*N14+Summary!$C$24*O14+Summary!$C$25*P14+Summary!$C$26*Q14</f>
        <v>1367.1899999999998</v>
      </c>
      <c r="X14" t="s">
        <v>61</v>
      </c>
      <c r="Y14">
        <v>95</v>
      </c>
      <c r="Z14">
        <v>95</v>
      </c>
      <c r="AF14" s="79"/>
      <c r="AG14" s="80" t="s">
        <v>63</v>
      </c>
      <c r="AH14" s="80" t="s">
        <v>58</v>
      </c>
      <c r="AI14" s="80" t="s">
        <v>70</v>
      </c>
      <c r="AJ14" s="79"/>
      <c r="AK14" s="80"/>
      <c r="AM14" s="29"/>
    </row>
    <row r="15" spans="1:39" x14ac:dyDescent="0.3">
      <c r="A15">
        <v>12</v>
      </c>
      <c r="B15" s="50">
        <f t="shared" si="1"/>
        <v>143</v>
      </c>
      <c r="C15" s="46">
        <f t="shared" si="2"/>
        <v>1037</v>
      </c>
      <c r="D15" s="46">
        <f t="shared" si="3"/>
        <v>106</v>
      </c>
      <c r="E15" s="46">
        <f t="shared" si="4"/>
        <v>0</v>
      </c>
      <c r="F15" s="46">
        <f t="shared" si="5"/>
        <v>0</v>
      </c>
      <c r="G15" s="46">
        <f t="shared" si="6"/>
        <v>0</v>
      </c>
      <c r="H15" s="46">
        <f t="shared" si="7"/>
        <v>160</v>
      </c>
      <c r="I15" s="129">
        <f>I14-P15</f>
        <v>471</v>
      </c>
      <c r="J15" s="128">
        <f>J14-Q15+300</f>
        <v>300</v>
      </c>
      <c r="K15" s="46"/>
      <c r="L15" s="46"/>
      <c r="M15" s="46"/>
      <c r="N15" s="46"/>
      <c r="O15" s="46"/>
      <c r="P15" s="46">
        <v>95</v>
      </c>
      <c r="Q15" s="46"/>
      <c r="R15" s="46" t="s">
        <v>59</v>
      </c>
      <c r="S15" s="46" t="s">
        <v>60</v>
      </c>
      <c r="T15" s="46">
        <v>25.65</v>
      </c>
      <c r="U15" s="46">
        <v>69.349999999999994</v>
      </c>
      <c r="V15" s="63">
        <f t="shared" si="10"/>
        <v>95</v>
      </c>
      <c r="W15" s="106">
        <f>Summary!$C$20*K15+Summary!$C$21*L15+Summary!$C$22*M15+Summary!$C$23*N15+Summary!$C$24*O15+Summary!$C$25*P15+Summary!$C$26*Q15</f>
        <v>948.1</v>
      </c>
      <c r="X15" t="s">
        <v>61</v>
      </c>
      <c r="Y15">
        <v>95</v>
      </c>
      <c r="Z15">
        <v>95</v>
      </c>
      <c r="AF15" s="79"/>
      <c r="AG15" s="80" t="s">
        <v>63</v>
      </c>
      <c r="AH15" s="80" t="s">
        <v>58</v>
      </c>
      <c r="AI15" s="80" t="s">
        <v>58</v>
      </c>
      <c r="AJ15" s="79"/>
      <c r="AK15" s="79"/>
      <c r="AM15" s="29"/>
    </row>
    <row r="16" spans="1:39" x14ac:dyDescent="0.3">
      <c r="A16">
        <v>13</v>
      </c>
      <c r="B16" s="50">
        <f t="shared" si="1"/>
        <v>238</v>
      </c>
      <c r="C16" s="46">
        <f t="shared" si="2"/>
        <v>942</v>
      </c>
      <c r="D16" s="46">
        <f t="shared" si="3"/>
        <v>106</v>
      </c>
      <c r="E16" s="46">
        <f t="shared" si="4"/>
        <v>0</v>
      </c>
      <c r="F16" s="46">
        <f t="shared" si="5"/>
        <v>0</v>
      </c>
      <c r="G16" s="46">
        <f t="shared" si="6"/>
        <v>0</v>
      </c>
      <c r="H16" s="46">
        <f t="shared" si="7"/>
        <v>160</v>
      </c>
      <c r="I16" s="129">
        <f t="shared" si="8"/>
        <v>376</v>
      </c>
      <c r="J16" s="128">
        <f t="shared" si="9"/>
        <v>300</v>
      </c>
      <c r="K16" s="46"/>
      <c r="L16" s="46"/>
      <c r="M16" s="46"/>
      <c r="N16" s="46"/>
      <c r="O16" s="46"/>
      <c r="P16" s="46">
        <v>95</v>
      </c>
      <c r="Q16" s="46"/>
      <c r="R16" s="46" t="s">
        <v>59</v>
      </c>
      <c r="S16" s="46" t="s">
        <v>60</v>
      </c>
      <c r="T16" s="46">
        <v>25.65</v>
      </c>
      <c r="U16" s="46">
        <v>69.349999999999994</v>
      </c>
      <c r="V16" s="63">
        <f t="shared" si="10"/>
        <v>95</v>
      </c>
      <c r="W16" s="106">
        <f>Summary!$C$20*K16+Summary!$C$21*L16+Summary!$C$22*M16+Summary!$C$23*N16+Summary!$C$24*O16+Summary!$C$25*P16+Summary!$C$26*Q16</f>
        <v>948.1</v>
      </c>
      <c r="X16" t="s">
        <v>61</v>
      </c>
      <c r="Y16">
        <v>95</v>
      </c>
      <c r="Z16">
        <v>95</v>
      </c>
      <c r="AF16" s="79"/>
      <c r="AG16" s="80" t="s">
        <v>71</v>
      </c>
      <c r="AH16" s="80" t="s">
        <v>63</v>
      </c>
      <c r="AI16" s="80" t="s">
        <v>58</v>
      </c>
      <c r="AJ16" s="79"/>
      <c r="AK16" s="79"/>
      <c r="AM16" s="29"/>
    </row>
    <row r="17" spans="1:39" x14ac:dyDescent="0.3">
      <c r="A17">
        <v>14</v>
      </c>
      <c r="B17" s="50">
        <f t="shared" si="1"/>
        <v>143</v>
      </c>
      <c r="C17" s="46">
        <f t="shared" si="2"/>
        <v>1037</v>
      </c>
      <c r="D17" s="46">
        <f t="shared" si="3"/>
        <v>106</v>
      </c>
      <c r="E17" s="128">
        <f>E16-L17+190</f>
        <v>190</v>
      </c>
      <c r="F17" s="46">
        <f>F16-M17</f>
        <v>0</v>
      </c>
      <c r="G17" s="46">
        <f t="shared" si="6"/>
        <v>0</v>
      </c>
      <c r="H17" s="46">
        <f t="shared" si="7"/>
        <v>160</v>
      </c>
      <c r="I17" s="46">
        <f t="shared" si="8"/>
        <v>281</v>
      </c>
      <c r="J17" s="129">
        <f t="shared" si="9"/>
        <v>300</v>
      </c>
      <c r="K17" s="46"/>
      <c r="L17" s="46"/>
      <c r="M17" s="46"/>
      <c r="N17" s="46"/>
      <c r="O17" s="46"/>
      <c r="P17" s="46">
        <v>95</v>
      </c>
      <c r="Q17" s="46"/>
      <c r="R17" s="46" t="s">
        <v>59</v>
      </c>
      <c r="S17" s="46" t="s">
        <v>60</v>
      </c>
      <c r="T17" s="46">
        <v>24.797260273972611</v>
      </c>
      <c r="U17" s="46">
        <v>67.044444444444451</v>
      </c>
      <c r="V17" s="63">
        <f t="shared" si="10"/>
        <v>95</v>
      </c>
      <c r="W17" s="106">
        <f>Summary!$C$20*K17+Summary!$C$21*L17+Summary!$C$22*M17+Summary!$C$23*N17+Summary!$C$24*O17+Summary!$C$25*P17+Summary!$C$26*Q17</f>
        <v>948.1</v>
      </c>
      <c r="X17" t="s">
        <v>61</v>
      </c>
      <c r="Y17">
        <v>91.841704718417063</v>
      </c>
      <c r="Z17">
        <v>95</v>
      </c>
      <c r="AF17" s="79"/>
      <c r="AG17" s="80" t="s">
        <v>71</v>
      </c>
      <c r="AH17" s="80" t="s">
        <v>63</v>
      </c>
      <c r="AI17" s="80" t="s">
        <v>58</v>
      </c>
      <c r="AJ17" s="79"/>
      <c r="AK17" s="79"/>
      <c r="AM17" s="29"/>
    </row>
    <row r="18" spans="1:39" x14ac:dyDescent="0.3">
      <c r="A18">
        <v>15</v>
      </c>
      <c r="B18" s="50">
        <f t="shared" si="1"/>
        <v>238</v>
      </c>
      <c r="C18" s="46">
        <f t="shared" si="2"/>
        <v>942</v>
      </c>
      <c r="D18" s="46">
        <f t="shared" si="3"/>
        <v>106</v>
      </c>
      <c r="E18" s="128">
        <f t="shared" si="4"/>
        <v>190</v>
      </c>
      <c r="F18" s="46">
        <f t="shared" si="5"/>
        <v>0</v>
      </c>
      <c r="G18" s="46">
        <f t="shared" si="6"/>
        <v>0</v>
      </c>
      <c r="H18" s="46">
        <f t="shared" si="7"/>
        <v>160</v>
      </c>
      <c r="I18" s="46">
        <f t="shared" si="8"/>
        <v>186</v>
      </c>
      <c r="J18" s="129">
        <f t="shared" si="9"/>
        <v>300</v>
      </c>
      <c r="K18" s="46"/>
      <c r="L18" s="46"/>
      <c r="M18" s="46"/>
      <c r="N18" s="46"/>
      <c r="O18" s="46"/>
      <c r="P18" s="46">
        <v>95</v>
      </c>
      <c r="Q18" s="46"/>
      <c r="R18" s="46" t="s">
        <v>53</v>
      </c>
      <c r="S18" s="46"/>
      <c r="T18" s="46">
        <v>7.1054273576010019E-15</v>
      </c>
      <c r="U18" s="46">
        <v>0</v>
      </c>
      <c r="V18" s="63">
        <f t="shared" si="10"/>
        <v>95</v>
      </c>
      <c r="W18" s="106">
        <f>Summary!$C$20*K18+Summary!$C$21*L18+Summary!$C$22*M18+Summary!$C$23*N18+Summary!$C$24*O18+Summary!$C$25*P18+Summary!$C$26*Q18</f>
        <v>948.1</v>
      </c>
      <c r="X18" t="s">
        <v>72</v>
      </c>
      <c r="Y18">
        <v>7.1054273576010019E-15</v>
      </c>
      <c r="Z18">
        <v>96</v>
      </c>
      <c r="AF18" s="79"/>
      <c r="AG18" s="80" t="s">
        <v>71</v>
      </c>
      <c r="AH18" s="80" t="s">
        <v>71</v>
      </c>
      <c r="AI18" s="81" t="s">
        <v>73</v>
      </c>
      <c r="AJ18" s="79"/>
      <c r="AK18" s="79"/>
      <c r="AM18" s="29"/>
    </row>
    <row r="19" spans="1:39" x14ac:dyDescent="0.3">
      <c r="A19">
        <v>16</v>
      </c>
      <c r="B19" s="50">
        <f t="shared" si="1"/>
        <v>333</v>
      </c>
      <c r="C19" s="46">
        <f t="shared" si="2"/>
        <v>847</v>
      </c>
      <c r="D19" s="46">
        <f t="shared" si="3"/>
        <v>106</v>
      </c>
      <c r="E19" s="129">
        <f t="shared" si="4"/>
        <v>190</v>
      </c>
      <c r="F19" s="46">
        <f t="shared" si="5"/>
        <v>0</v>
      </c>
      <c r="G19" s="46">
        <f t="shared" si="6"/>
        <v>0</v>
      </c>
      <c r="H19" s="46">
        <f t="shared" si="7"/>
        <v>160</v>
      </c>
      <c r="I19" s="46">
        <f t="shared" si="8"/>
        <v>91</v>
      </c>
      <c r="J19" s="129">
        <f t="shared" si="9"/>
        <v>300</v>
      </c>
      <c r="K19" s="46"/>
      <c r="L19" s="46"/>
      <c r="M19" s="46"/>
      <c r="N19" s="46"/>
      <c r="O19" s="46"/>
      <c r="P19" s="46">
        <v>95</v>
      </c>
      <c r="Q19" s="46"/>
      <c r="R19" s="46" t="s">
        <v>59</v>
      </c>
      <c r="S19" s="46"/>
      <c r="T19" s="46">
        <v>95</v>
      </c>
      <c r="U19" s="46">
        <v>0</v>
      </c>
      <c r="V19" s="63">
        <f t="shared" si="10"/>
        <v>95</v>
      </c>
      <c r="W19" s="106">
        <f>Summary!$C$20*K19+Summary!$C$21*L19+Summary!$C$22*M19+Summary!$C$23*N19+Summary!$C$24*O19+Summary!$C$25*P19+Summary!$C$26*Q19</f>
        <v>948.1</v>
      </c>
      <c r="X19" t="s">
        <v>72</v>
      </c>
      <c r="Y19">
        <v>95</v>
      </c>
      <c r="Z19">
        <v>95</v>
      </c>
      <c r="AF19" s="79"/>
      <c r="AG19" s="80" t="s">
        <v>74</v>
      </c>
      <c r="AH19" s="80" t="s">
        <v>71</v>
      </c>
      <c r="AI19" s="81" t="s">
        <v>73</v>
      </c>
      <c r="AJ19" s="79"/>
      <c r="AK19" s="79"/>
      <c r="AL19"/>
      <c r="AM19" s="29"/>
    </row>
    <row r="20" spans="1:39" x14ac:dyDescent="0.3">
      <c r="A20">
        <v>17</v>
      </c>
      <c r="B20" s="50">
        <f t="shared" si="1"/>
        <v>118</v>
      </c>
      <c r="C20" s="46">
        <f t="shared" si="2"/>
        <v>1062</v>
      </c>
      <c r="D20" s="128">
        <f>D19-K20+310</f>
        <v>416</v>
      </c>
      <c r="E20" s="129">
        <f t="shared" si="4"/>
        <v>190</v>
      </c>
      <c r="F20" s="46">
        <f t="shared" si="5"/>
        <v>0</v>
      </c>
      <c r="G20" s="46">
        <f t="shared" si="6"/>
        <v>0</v>
      </c>
      <c r="H20" s="46">
        <f t="shared" si="7"/>
        <v>160</v>
      </c>
      <c r="I20" s="46">
        <f t="shared" si="8"/>
        <v>0</v>
      </c>
      <c r="J20" s="46">
        <f t="shared" si="9"/>
        <v>296</v>
      </c>
      <c r="K20" s="46"/>
      <c r="L20" s="46"/>
      <c r="M20" s="46"/>
      <c r="N20" s="46"/>
      <c r="O20" s="46"/>
      <c r="P20" s="46">
        <v>91</v>
      </c>
      <c r="Q20" s="46">
        <v>4</v>
      </c>
      <c r="R20" s="46" t="s">
        <v>59</v>
      </c>
      <c r="S20" s="46"/>
      <c r="T20" s="46">
        <v>77.60273972602738</v>
      </c>
      <c r="U20" s="46">
        <v>0</v>
      </c>
      <c r="V20" s="63">
        <f t="shared" si="10"/>
        <v>95</v>
      </c>
      <c r="W20" s="106">
        <f>Summary!$C$20*K20+Summary!$C$21*L20+Summary!$C$22*M20+Summary!$C$23*N20+Summary!$C$24*O20+Summary!$C$25*P20+Summary!$C$26*Q20</f>
        <v>948.06000000000006</v>
      </c>
      <c r="X20" t="s">
        <v>72</v>
      </c>
      <c r="Y20">
        <v>77.60273972602738</v>
      </c>
      <c r="Z20">
        <v>95</v>
      </c>
      <c r="AF20" s="79"/>
      <c r="AG20" s="79"/>
      <c r="AH20" s="80" t="s">
        <v>71</v>
      </c>
      <c r="AI20" s="81" t="s">
        <v>63</v>
      </c>
      <c r="AJ20" s="79"/>
      <c r="AK20" s="79"/>
      <c r="AL20" s="30"/>
      <c r="AM20" s="29"/>
    </row>
    <row r="21" spans="1:39" x14ac:dyDescent="0.3">
      <c r="A21">
        <v>18</v>
      </c>
      <c r="B21" s="50">
        <f t="shared" si="1"/>
        <v>213</v>
      </c>
      <c r="C21" s="46">
        <f>SUM(D21:J21)</f>
        <v>967</v>
      </c>
      <c r="D21" s="128">
        <f t="shared" si="3"/>
        <v>416</v>
      </c>
      <c r="E21" s="129">
        <f t="shared" si="4"/>
        <v>190</v>
      </c>
      <c r="F21" s="46">
        <f t="shared" si="5"/>
        <v>0</v>
      </c>
      <c r="G21" s="46">
        <f t="shared" si="6"/>
        <v>0</v>
      </c>
      <c r="H21" s="46">
        <f t="shared" si="7"/>
        <v>160</v>
      </c>
      <c r="I21" s="46">
        <f>I20-P21</f>
        <v>0</v>
      </c>
      <c r="J21" s="46">
        <f t="shared" si="9"/>
        <v>201</v>
      </c>
      <c r="K21" s="46"/>
      <c r="L21" s="46"/>
      <c r="M21" s="46"/>
      <c r="N21" s="46"/>
      <c r="O21" s="46"/>
      <c r="P21" s="46"/>
      <c r="Q21" s="46">
        <v>95</v>
      </c>
      <c r="R21" s="46" t="s">
        <v>75</v>
      </c>
      <c r="S21" s="46"/>
      <c r="T21" s="46">
        <v>95</v>
      </c>
      <c r="U21" s="46">
        <v>0</v>
      </c>
      <c r="V21" s="63">
        <f t="shared" si="10"/>
        <v>95</v>
      </c>
      <c r="W21" s="106">
        <f>Summary!$C$20*K21+Summary!$C$21*L21+Summary!$C$22*M21+Summary!$C$23*N21+Summary!$C$24*O21+Summary!$C$25*P21+Summary!$C$26*Q21</f>
        <v>947.15000000000009</v>
      </c>
      <c r="X21" t="s">
        <v>72</v>
      </c>
      <c r="Y21">
        <v>95</v>
      </c>
      <c r="Z21">
        <v>95</v>
      </c>
      <c r="AF21" s="79"/>
      <c r="AG21" s="79"/>
      <c r="AH21" s="79" t="s">
        <v>76</v>
      </c>
      <c r="AI21" s="81" t="s">
        <v>63</v>
      </c>
      <c r="AJ21" s="79" t="s">
        <v>77</v>
      </c>
      <c r="AK21" s="79"/>
      <c r="AL21" s="30"/>
      <c r="AM21" s="29"/>
    </row>
    <row r="22" spans="1:39" x14ac:dyDescent="0.3">
      <c r="A22">
        <v>19</v>
      </c>
      <c r="B22" s="50">
        <f t="shared" si="1"/>
        <v>308</v>
      </c>
      <c r="C22" s="46">
        <f t="shared" si="2"/>
        <v>872</v>
      </c>
      <c r="D22" s="129">
        <f t="shared" si="3"/>
        <v>416</v>
      </c>
      <c r="E22" s="46">
        <f t="shared" si="4"/>
        <v>190</v>
      </c>
      <c r="F22" s="46">
        <f t="shared" si="5"/>
        <v>0</v>
      </c>
      <c r="G22" s="46">
        <f t="shared" si="6"/>
        <v>0</v>
      </c>
      <c r="H22" s="46">
        <f t="shared" si="7"/>
        <v>160</v>
      </c>
      <c r="I22" s="46">
        <f t="shared" si="8"/>
        <v>0</v>
      </c>
      <c r="J22" s="46">
        <f t="shared" si="9"/>
        <v>106</v>
      </c>
      <c r="K22" s="46"/>
      <c r="L22" s="46"/>
      <c r="M22" s="46"/>
      <c r="N22" s="46"/>
      <c r="O22" s="46"/>
      <c r="P22" s="46"/>
      <c r="Q22" s="46">
        <v>95</v>
      </c>
      <c r="R22" s="46" t="s">
        <v>53</v>
      </c>
      <c r="S22" s="46"/>
      <c r="T22" s="46">
        <v>96</v>
      </c>
      <c r="U22" s="46">
        <v>0</v>
      </c>
      <c r="V22" s="63">
        <f t="shared" si="10"/>
        <v>95</v>
      </c>
      <c r="W22" s="106">
        <f>Summary!$C$20*K22+Summary!$C$21*L22+Summary!$C$22*M22+Summary!$C$23*N22+Summary!$C$24*O22+Summary!$C$25*P22+Summary!$C$26*Q22</f>
        <v>947.15000000000009</v>
      </c>
      <c r="X22" t="s">
        <v>72</v>
      </c>
      <c r="Y22">
        <v>96</v>
      </c>
      <c r="Z22">
        <v>96</v>
      </c>
      <c r="AF22" s="79"/>
      <c r="AG22" s="79"/>
      <c r="AH22" s="79"/>
      <c r="AI22" s="80" t="s">
        <v>71</v>
      </c>
      <c r="AJ22" s="79" t="s">
        <v>78</v>
      </c>
      <c r="AK22" s="79"/>
      <c r="AL22" s="30"/>
      <c r="AM22" s="29"/>
    </row>
    <row r="23" spans="1:39" x14ac:dyDescent="0.3">
      <c r="A23">
        <v>20</v>
      </c>
      <c r="B23" s="50">
        <f t="shared" si="1"/>
        <v>401</v>
      </c>
      <c r="C23" s="46">
        <f t="shared" si="2"/>
        <v>779</v>
      </c>
      <c r="D23" s="129">
        <f t="shared" si="3"/>
        <v>365</v>
      </c>
      <c r="E23" s="46">
        <f t="shared" si="4"/>
        <v>169</v>
      </c>
      <c r="F23" s="46">
        <f t="shared" si="5"/>
        <v>0</v>
      </c>
      <c r="G23" s="46">
        <f t="shared" si="6"/>
        <v>0</v>
      </c>
      <c r="H23" s="46">
        <f t="shared" si="7"/>
        <v>160</v>
      </c>
      <c r="I23" s="46">
        <f t="shared" si="8"/>
        <v>0</v>
      </c>
      <c r="J23" s="46">
        <f t="shared" si="9"/>
        <v>85</v>
      </c>
      <c r="K23" s="46">
        <v>51</v>
      </c>
      <c r="L23" s="46">
        <v>21</v>
      </c>
      <c r="M23" s="46"/>
      <c r="N23" s="46"/>
      <c r="O23" s="46"/>
      <c r="P23" s="46"/>
      <c r="Q23" s="46">
        <v>21</v>
      </c>
      <c r="R23" s="46" t="s">
        <v>53</v>
      </c>
      <c r="S23" s="46"/>
      <c r="T23" s="46">
        <v>96</v>
      </c>
      <c r="U23" s="46">
        <v>0</v>
      </c>
      <c r="V23" s="63">
        <f t="shared" si="10"/>
        <v>93</v>
      </c>
      <c r="W23" s="106">
        <f>Summary!$C$20*K23+Summary!$C$21*L23+Summary!$C$22*M23+Summary!$C$23*N23+Summary!$C$24*O23+Summary!$C$25*P23+Summary!$C$26*Q23</f>
        <v>1405.5900000000001</v>
      </c>
      <c r="X23" t="s">
        <v>72</v>
      </c>
      <c r="Y23">
        <v>96</v>
      </c>
      <c r="Z23">
        <v>96</v>
      </c>
      <c r="AF23" s="79"/>
      <c r="AG23" s="79"/>
      <c r="AH23" s="79"/>
      <c r="AI23" s="80" t="s">
        <v>71</v>
      </c>
      <c r="AJ23" s="79" t="s">
        <v>58</v>
      </c>
      <c r="AK23" s="79"/>
      <c r="AL23" s="30"/>
      <c r="AM23" s="29"/>
    </row>
    <row r="24" spans="1:39" x14ac:dyDescent="0.3">
      <c r="A24">
        <v>21</v>
      </c>
      <c r="B24" s="50">
        <f t="shared" si="1"/>
        <v>141</v>
      </c>
      <c r="C24" s="46">
        <f t="shared" si="2"/>
        <v>1039</v>
      </c>
      <c r="D24" s="129">
        <f t="shared" si="3"/>
        <v>301</v>
      </c>
      <c r="E24" s="46">
        <f t="shared" si="4"/>
        <v>143</v>
      </c>
      <c r="F24" s="46">
        <f t="shared" si="5"/>
        <v>0</v>
      </c>
      <c r="G24" s="46">
        <f t="shared" si="6"/>
        <v>0</v>
      </c>
      <c r="H24" s="46">
        <f t="shared" si="7"/>
        <v>160</v>
      </c>
      <c r="I24" s="128">
        <f>I23-P24+50</f>
        <v>50</v>
      </c>
      <c r="J24" s="128">
        <f>J23-Q24+300</f>
        <v>385</v>
      </c>
      <c r="K24" s="46">
        <v>64</v>
      </c>
      <c r="L24" s="46">
        <v>26</v>
      </c>
      <c r="M24" s="46"/>
      <c r="N24" s="46"/>
      <c r="O24" s="46"/>
      <c r="P24" s="46"/>
      <c r="Q24" s="46"/>
      <c r="R24" s="46" t="s">
        <v>53</v>
      </c>
      <c r="S24" s="46"/>
      <c r="T24" s="46">
        <v>8</v>
      </c>
      <c r="U24" s="46">
        <v>0</v>
      </c>
      <c r="V24" s="63">
        <f t="shared" si="10"/>
        <v>90</v>
      </c>
      <c r="W24" s="106">
        <f>Summary!$C$20*K24+Summary!$C$21*L24+Summary!$C$22*M24+Summary!$C$23*N24+Summary!$C$24*O24+Summary!$C$25*P24+Summary!$C$26*Q24</f>
        <v>1494.62</v>
      </c>
      <c r="X24" t="s">
        <v>72</v>
      </c>
      <c r="Y24">
        <v>8</v>
      </c>
      <c r="Z24">
        <v>96</v>
      </c>
      <c r="AF24" s="79"/>
      <c r="AG24" s="79"/>
      <c r="AH24" s="79"/>
      <c r="AI24" s="80" t="s">
        <v>71</v>
      </c>
      <c r="AJ24" s="79" t="s">
        <v>58</v>
      </c>
      <c r="AK24" s="79" t="s">
        <v>79</v>
      </c>
      <c r="AL24" s="30"/>
      <c r="AM24" s="29"/>
    </row>
    <row r="25" spans="1:39" x14ac:dyDescent="0.3">
      <c r="A25">
        <v>22</v>
      </c>
      <c r="B25" s="50">
        <f t="shared" si="1"/>
        <v>231</v>
      </c>
      <c r="C25" s="46">
        <f>SUM(D25:J25)</f>
        <v>949</v>
      </c>
      <c r="D25" s="46">
        <f t="shared" si="3"/>
        <v>237</v>
      </c>
      <c r="E25" s="46">
        <f t="shared" si="4"/>
        <v>117</v>
      </c>
      <c r="F25" s="46">
        <f t="shared" si="5"/>
        <v>0</v>
      </c>
      <c r="G25" s="46">
        <f t="shared" si="6"/>
        <v>0</v>
      </c>
      <c r="H25" s="46">
        <f t="shared" si="7"/>
        <v>160</v>
      </c>
      <c r="I25" s="128">
        <f t="shared" si="8"/>
        <v>50</v>
      </c>
      <c r="J25" s="128">
        <f t="shared" si="9"/>
        <v>385</v>
      </c>
      <c r="K25" s="46">
        <v>64</v>
      </c>
      <c r="L25" s="46">
        <v>26</v>
      </c>
      <c r="M25" s="46"/>
      <c r="N25" s="46"/>
      <c r="O25" s="46"/>
      <c r="P25" s="46"/>
      <c r="Q25" s="46"/>
      <c r="R25" s="46" t="s">
        <v>60</v>
      </c>
      <c r="S25" s="46"/>
      <c r="T25" s="46">
        <v>87</v>
      </c>
      <c r="U25" s="46">
        <v>0</v>
      </c>
      <c r="V25" s="63">
        <f t="shared" si="10"/>
        <v>90</v>
      </c>
      <c r="W25" s="106">
        <f>Summary!$C$20*K25+Summary!$C$21*L25+Summary!$C$22*M25+Summary!$C$23*N25+Summary!$C$24*O25+Summary!$C$25*P25+Summary!$C$26*Q25</f>
        <v>1494.62</v>
      </c>
      <c r="X25" t="s">
        <v>72</v>
      </c>
      <c r="Y25">
        <v>87</v>
      </c>
      <c r="Z25">
        <v>87</v>
      </c>
      <c r="AF25" s="79"/>
      <c r="AG25" s="79"/>
      <c r="AH25" s="79"/>
      <c r="AI25" s="80" t="s">
        <v>80</v>
      </c>
      <c r="AJ25" s="81" t="s">
        <v>73</v>
      </c>
      <c r="AK25" s="79" t="s">
        <v>81</v>
      </c>
      <c r="AL25" s="30"/>
      <c r="AM25" s="29"/>
    </row>
    <row r="26" spans="1:39" x14ac:dyDescent="0.3">
      <c r="A26">
        <v>23</v>
      </c>
      <c r="B26" s="50">
        <f t="shared" si="1"/>
        <v>321</v>
      </c>
      <c r="C26" s="46">
        <f t="shared" si="2"/>
        <v>859</v>
      </c>
      <c r="D26" s="46">
        <f t="shared" si="3"/>
        <v>173</v>
      </c>
      <c r="E26" s="46">
        <f t="shared" si="4"/>
        <v>91</v>
      </c>
      <c r="F26" s="46">
        <f t="shared" si="5"/>
        <v>0</v>
      </c>
      <c r="G26" s="46">
        <f t="shared" si="6"/>
        <v>0</v>
      </c>
      <c r="H26" s="46">
        <f t="shared" si="7"/>
        <v>160</v>
      </c>
      <c r="I26" s="129">
        <f t="shared" si="8"/>
        <v>50</v>
      </c>
      <c r="J26" s="129">
        <f t="shared" si="9"/>
        <v>385</v>
      </c>
      <c r="K26" s="46">
        <v>64</v>
      </c>
      <c r="L26" s="46">
        <v>26</v>
      </c>
      <c r="M26" s="46"/>
      <c r="N26" s="46"/>
      <c r="O26" s="46"/>
      <c r="P26" s="46"/>
      <c r="Q26" s="46"/>
      <c r="R26" s="46" t="s">
        <v>60</v>
      </c>
      <c r="S26" s="46"/>
      <c r="T26" s="46">
        <v>87</v>
      </c>
      <c r="U26" s="46">
        <v>0</v>
      </c>
      <c r="V26" s="63">
        <f t="shared" si="10"/>
        <v>90</v>
      </c>
      <c r="W26" s="106">
        <f>Summary!$C$20*K26+Summary!$C$21*L26+Summary!$C$22*M26+Summary!$C$23*N26+Summary!$C$24*O26+Summary!$C$25*P26+Summary!$C$26*Q26</f>
        <v>1494.62</v>
      </c>
      <c r="X26" t="s">
        <v>72</v>
      </c>
      <c r="Y26">
        <v>87</v>
      </c>
      <c r="Z26">
        <v>87</v>
      </c>
      <c r="AF26" s="79"/>
      <c r="AG26" s="79"/>
      <c r="AH26" s="79"/>
      <c r="AI26" s="81"/>
      <c r="AJ26" s="79" t="s">
        <v>63</v>
      </c>
      <c r="AK26" s="79" t="s">
        <v>82</v>
      </c>
      <c r="AL26" s="30"/>
      <c r="AM26" s="29"/>
    </row>
    <row r="27" spans="1:39" x14ac:dyDescent="0.3">
      <c r="A27">
        <v>24</v>
      </c>
      <c r="B27" s="50">
        <f t="shared" si="1"/>
        <v>161</v>
      </c>
      <c r="C27" s="46">
        <f t="shared" si="2"/>
        <v>1019</v>
      </c>
      <c r="D27" s="128">
        <f>D26-K27+250</f>
        <v>359</v>
      </c>
      <c r="E27" s="46">
        <f t="shared" si="4"/>
        <v>65</v>
      </c>
      <c r="F27" s="46">
        <f t="shared" si="5"/>
        <v>0</v>
      </c>
      <c r="G27" s="46">
        <f>G26-N27</f>
        <v>0</v>
      </c>
      <c r="H27" s="46">
        <f t="shared" si="7"/>
        <v>160</v>
      </c>
      <c r="I27" s="129">
        <f t="shared" si="8"/>
        <v>50</v>
      </c>
      <c r="J27" s="129">
        <f t="shared" si="9"/>
        <v>385</v>
      </c>
      <c r="K27" s="46">
        <v>64</v>
      </c>
      <c r="L27" s="46">
        <v>26</v>
      </c>
      <c r="M27" s="46"/>
      <c r="N27" s="46"/>
      <c r="O27" s="46"/>
      <c r="P27" s="46"/>
      <c r="Q27" s="46"/>
      <c r="R27" s="46" t="s">
        <v>60</v>
      </c>
      <c r="S27" s="46"/>
      <c r="T27" s="46">
        <v>87</v>
      </c>
      <c r="U27" s="46">
        <v>0</v>
      </c>
      <c r="V27" s="63">
        <f t="shared" si="10"/>
        <v>90</v>
      </c>
      <c r="W27" s="106">
        <f>Summary!$C$20*K27+Summary!$C$21*L27+Summary!$C$22*M27+Summary!$C$23*N27+Summary!$C$24*O27+Summary!$C$25*P27+Summary!$C$26*Q27</f>
        <v>1494.62</v>
      </c>
      <c r="X27" t="s">
        <v>72</v>
      </c>
      <c r="Y27">
        <v>87</v>
      </c>
      <c r="Z27">
        <v>87</v>
      </c>
      <c r="AF27" s="79"/>
      <c r="AG27" s="79"/>
      <c r="AH27" s="79"/>
      <c r="AI27" s="79"/>
      <c r="AJ27" s="79" t="s">
        <v>63</v>
      </c>
      <c r="AK27" s="79" t="s">
        <v>83</v>
      </c>
      <c r="AL27" s="30"/>
      <c r="AM27" s="29"/>
    </row>
    <row r="28" spans="1:39" x14ac:dyDescent="0.3">
      <c r="A28">
        <v>25</v>
      </c>
      <c r="B28" s="50">
        <f t="shared" si="1"/>
        <v>251</v>
      </c>
      <c r="C28" s="46">
        <f t="shared" si="2"/>
        <v>929</v>
      </c>
      <c r="D28" s="128">
        <f t="shared" si="3"/>
        <v>295</v>
      </c>
      <c r="E28" s="46">
        <f t="shared" si="4"/>
        <v>39</v>
      </c>
      <c r="F28" s="46">
        <f t="shared" si="5"/>
        <v>0</v>
      </c>
      <c r="G28" s="46">
        <f t="shared" si="6"/>
        <v>0</v>
      </c>
      <c r="H28" s="46">
        <f t="shared" si="7"/>
        <v>160</v>
      </c>
      <c r="I28" s="129">
        <f t="shared" si="8"/>
        <v>50</v>
      </c>
      <c r="J28" s="129">
        <f t="shared" si="9"/>
        <v>385</v>
      </c>
      <c r="K28" s="46">
        <v>64</v>
      </c>
      <c r="L28" s="46">
        <v>26</v>
      </c>
      <c r="M28" s="46"/>
      <c r="N28" s="46"/>
      <c r="O28" s="46"/>
      <c r="P28" s="46"/>
      <c r="Q28" s="46"/>
      <c r="R28" s="46" t="s">
        <v>60</v>
      </c>
      <c r="S28" s="46"/>
      <c r="T28" s="46">
        <v>87</v>
      </c>
      <c r="U28" s="46">
        <v>0</v>
      </c>
      <c r="V28" s="63">
        <f t="shared" si="10"/>
        <v>90</v>
      </c>
      <c r="W28" s="106">
        <f>Summary!$C$20*K28+Summary!$C$21*L28+Summary!$C$22*M28+Summary!$C$23*N28+Summary!$C$24*O28+Summary!$C$25*P28+Summary!$C$26*Q28</f>
        <v>1494.62</v>
      </c>
      <c r="X28" t="s">
        <v>72</v>
      </c>
      <c r="Y28">
        <v>87</v>
      </c>
      <c r="Z28">
        <v>87</v>
      </c>
      <c r="AF28" s="79"/>
      <c r="AG28" s="79"/>
      <c r="AH28" s="79"/>
      <c r="AI28" s="79"/>
      <c r="AJ28" s="79" t="s">
        <v>71</v>
      </c>
      <c r="AK28" s="79" t="s">
        <v>58</v>
      </c>
      <c r="AL28" s="30"/>
      <c r="AM28" s="29"/>
    </row>
    <row r="29" spans="1:39" x14ac:dyDescent="0.3">
      <c r="A29">
        <v>26</v>
      </c>
      <c r="B29" s="50">
        <f t="shared" si="1"/>
        <v>341</v>
      </c>
      <c r="C29" s="46">
        <f t="shared" si="2"/>
        <v>839</v>
      </c>
      <c r="D29" s="129">
        <f t="shared" si="3"/>
        <v>231</v>
      </c>
      <c r="E29" s="46">
        <f t="shared" si="4"/>
        <v>13</v>
      </c>
      <c r="F29" s="46">
        <f t="shared" si="5"/>
        <v>0</v>
      </c>
      <c r="G29" s="46">
        <f t="shared" si="6"/>
        <v>0</v>
      </c>
      <c r="H29" s="46">
        <f t="shared" si="7"/>
        <v>160</v>
      </c>
      <c r="I29" s="46">
        <f t="shared" si="8"/>
        <v>50</v>
      </c>
      <c r="J29" s="46">
        <f t="shared" si="9"/>
        <v>385</v>
      </c>
      <c r="K29" s="46">
        <v>64</v>
      </c>
      <c r="L29" s="46">
        <v>26</v>
      </c>
      <c r="M29" s="46"/>
      <c r="N29" s="46"/>
      <c r="O29" s="46"/>
      <c r="P29" s="46"/>
      <c r="Q29" s="46"/>
      <c r="R29" s="46" t="s">
        <v>60</v>
      </c>
      <c r="S29" s="46"/>
      <c r="T29" s="46">
        <v>12</v>
      </c>
      <c r="U29" s="46">
        <v>0</v>
      </c>
      <c r="V29" s="63">
        <f t="shared" si="10"/>
        <v>90</v>
      </c>
      <c r="W29" s="106">
        <f>Summary!$C$20*K29+Summary!$C$21*L29+Summary!$C$22*M29+Summary!$C$23*N29+Summary!$C$24*O29+Summary!$C$25*P29+Summary!$C$26*Q29</f>
        <v>1494.62</v>
      </c>
      <c r="X29" t="s">
        <v>72</v>
      </c>
      <c r="Y29">
        <v>12</v>
      </c>
      <c r="Z29">
        <v>87</v>
      </c>
      <c r="AF29" s="79"/>
      <c r="AG29" s="79"/>
      <c r="AH29" s="79"/>
      <c r="AI29" s="79"/>
      <c r="AJ29" s="79" t="s">
        <v>71</v>
      </c>
      <c r="AK29" s="79" t="s">
        <v>58</v>
      </c>
      <c r="AL29" s="30"/>
      <c r="AM29" s="29"/>
    </row>
    <row r="30" spans="1:39" x14ac:dyDescent="0.3">
      <c r="A30">
        <v>27</v>
      </c>
      <c r="B30" s="50">
        <f t="shared" si="1"/>
        <v>274</v>
      </c>
      <c r="C30" s="46">
        <f t="shared" si="2"/>
        <v>906</v>
      </c>
      <c r="D30" s="128">
        <f>D29-K30+160</f>
        <v>359</v>
      </c>
      <c r="E30" s="46">
        <f t="shared" si="4"/>
        <v>0</v>
      </c>
      <c r="F30" s="46">
        <f t="shared" si="5"/>
        <v>0</v>
      </c>
      <c r="G30" s="46">
        <f t="shared" si="6"/>
        <v>0</v>
      </c>
      <c r="H30" s="46">
        <f t="shared" si="7"/>
        <v>160</v>
      </c>
      <c r="I30" s="46">
        <f t="shared" si="8"/>
        <v>30</v>
      </c>
      <c r="J30" s="46">
        <f t="shared" si="9"/>
        <v>357</v>
      </c>
      <c r="K30" s="46">
        <v>32</v>
      </c>
      <c r="L30" s="46">
        <v>13</v>
      </c>
      <c r="M30" s="46"/>
      <c r="N30" s="46"/>
      <c r="O30" s="46"/>
      <c r="P30" s="46">
        <v>20</v>
      </c>
      <c r="Q30" s="46">
        <v>28</v>
      </c>
      <c r="R30" s="46" t="s">
        <v>54</v>
      </c>
      <c r="S30" s="46"/>
      <c r="T30" s="46">
        <v>95</v>
      </c>
      <c r="U30" s="46">
        <v>0</v>
      </c>
      <c r="V30" s="63">
        <f t="shared" si="10"/>
        <v>93</v>
      </c>
      <c r="W30" s="106">
        <f>Summary!$C$20*K30+Summary!$C$21*L30+Summary!$C$22*M30+Summary!$C$23*N30+Summary!$C$24*O30+Summary!$C$25*P30+Summary!$C$26*Q30</f>
        <v>1226.07</v>
      </c>
      <c r="X30" t="s">
        <v>72</v>
      </c>
      <c r="Y30">
        <v>95</v>
      </c>
      <c r="Z30">
        <v>95</v>
      </c>
      <c r="AF30" s="79"/>
      <c r="AG30" s="79"/>
      <c r="AH30" s="79"/>
      <c r="AI30" s="79"/>
      <c r="AJ30" s="79" t="s">
        <v>71</v>
      </c>
      <c r="AK30" s="79" t="s">
        <v>58</v>
      </c>
      <c r="AL30" s="30"/>
      <c r="AM30" s="29"/>
    </row>
    <row r="31" spans="1:39" x14ac:dyDescent="0.3">
      <c r="A31">
        <v>28</v>
      </c>
      <c r="B31" s="50">
        <f t="shared" si="1"/>
        <v>369</v>
      </c>
      <c r="C31" s="46">
        <f t="shared" si="2"/>
        <v>811</v>
      </c>
      <c r="D31" s="128">
        <f t="shared" si="3"/>
        <v>359</v>
      </c>
      <c r="E31" s="46">
        <f t="shared" si="4"/>
        <v>0</v>
      </c>
      <c r="F31" s="46">
        <f t="shared" si="5"/>
        <v>0</v>
      </c>
      <c r="G31" s="46">
        <f t="shared" si="6"/>
        <v>0</v>
      </c>
      <c r="H31" s="46">
        <f t="shared" si="7"/>
        <v>160</v>
      </c>
      <c r="I31" s="46">
        <f t="shared" si="8"/>
        <v>10</v>
      </c>
      <c r="J31" s="46">
        <f t="shared" si="9"/>
        <v>282</v>
      </c>
      <c r="K31" s="46"/>
      <c r="L31" s="46"/>
      <c r="M31" s="46"/>
      <c r="N31" s="46"/>
      <c r="O31" s="46"/>
      <c r="P31" s="46">
        <v>20</v>
      </c>
      <c r="Q31" s="46">
        <v>75</v>
      </c>
      <c r="R31" s="46" t="s">
        <v>54</v>
      </c>
      <c r="S31" s="46"/>
      <c r="T31" s="46">
        <v>55</v>
      </c>
      <c r="U31" s="46">
        <v>0</v>
      </c>
      <c r="V31" s="63">
        <f t="shared" si="10"/>
        <v>95</v>
      </c>
      <c r="W31" s="106">
        <f>Summary!$C$20*K31+Summary!$C$21*L31+Summary!$C$22*M31+Summary!$C$23*N31+Summary!$C$24*O31+Summary!$C$25*P31+Summary!$C$26*Q31</f>
        <v>947.35</v>
      </c>
      <c r="X31" t="s">
        <v>72</v>
      </c>
      <c r="Y31">
        <v>55</v>
      </c>
      <c r="Z31">
        <v>95</v>
      </c>
      <c r="AF31" s="79"/>
      <c r="AG31" s="79"/>
      <c r="AH31" s="79"/>
      <c r="AI31" s="79"/>
      <c r="AJ31" s="79" t="s">
        <v>84</v>
      </c>
      <c r="AK31" s="79" t="s">
        <v>63</v>
      </c>
      <c r="AL31" s="30"/>
      <c r="AM31" s="29"/>
    </row>
    <row r="32" spans="1:39" x14ac:dyDescent="0.3">
      <c r="A32">
        <v>29</v>
      </c>
      <c r="B32" s="50">
        <f t="shared" si="1"/>
        <v>164</v>
      </c>
      <c r="C32" s="46">
        <f t="shared" si="2"/>
        <v>1016</v>
      </c>
      <c r="D32" s="129">
        <f t="shared" si="3"/>
        <v>359</v>
      </c>
      <c r="E32" s="46">
        <f t="shared" si="4"/>
        <v>0</v>
      </c>
      <c r="F32" s="46">
        <f t="shared" si="5"/>
        <v>0</v>
      </c>
      <c r="G32" s="46">
        <f t="shared" si="6"/>
        <v>0</v>
      </c>
      <c r="H32" s="46">
        <f>H31-O32</f>
        <v>160</v>
      </c>
      <c r="I32" s="46">
        <f>I31-P32</f>
        <v>0</v>
      </c>
      <c r="J32" s="128">
        <f>J31-Q32+300</f>
        <v>497</v>
      </c>
      <c r="K32" s="46"/>
      <c r="L32" s="46"/>
      <c r="M32" s="46"/>
      <c r="N32" s="46"/>
      <c r="O32" s="46"/>
      <c r="P32" s="46">
        <v>10</v>
      </c>
      <c r="Q32" s="46">
        <v>85</v>
      </c>
      <c r="R32" s="46" t="s">
        <v>75</v>
      </c>
      <c r="S32" s="46"/>
      <c r="T32" s="46">
        <v>95</v>
      </c>
      <c r="U32" s="46">
        <v>0</v>
      </c>
      <c r="V32" s="63">
        <f t="shared" si="10"/>
        <v>95</v>
      </c>
      <c r="W32" s="106">
        <f>Summary!$C$20*K32+Summary!$C$21*L32+Summary!$C$22*M32+Summary!$C$23*N32+Summary!$C$24*O32+Summary!$C$25*P32+Summary!$C$26*Q32</f>
        <v>947.25</v>
      </c>
      <c r="X32" t="s">
        <v>72</v>
      </c>
      <c r="Y32">
        <v>95</v>
      </c>
      <c r="Z32">
        <v>95</v>
      </c>
      <c r="AF32" s="79"/>
      <c r="AG32" s="79"/>
      <c r="AH32" s="79"/>
      <c r="AI32" s="79"/>
      <c r="AJ32" s="81"/>
      <c r="AK32" s="79" t="s">
        <v>63</v>
      </c>
      <c r="AL32" s="30"/>
      <c r="AM32" s="29"/>
    </row>
    <row r="33" spans="1:39" x14ac:dyDescent="0.3">
      <c r="A33">
        <v>30</v>
      </c>
      <c r="B33" s="50">
        <f t="shared" si="1"/>
        <v>259</v>
      </c>
      <c r="C33" s="46">
        <f t="shared" si="2"/>
        <v>921</v>
      </c>
      <c r="D33" s="129">
        <f t="shared" si="3"/>
        <v>359</v>
      </c>
      <c r="E33" s="46">
        <f t="shared" si="4"/>
        <v>0</v>
      </c>
      <c r="F33" s="46">
        <f t="shared" si="5"/>
        <v>0</v>
      </c>
      <c r="G33" s="46">
        <f t="shared" si="6"/>
        <v>0</v>
      </c>
      <c r="H33" s="46">
        <f t="shared" si="7"/>
        <v>160</v>
      </c>
      <c r="I33" s="46">
        <f t="shared" si="8"/>
        <v>0</v>
      </c>
      <c r="J33" s="128">
        <f t="shared" si="9"/>
        <v>402</v>
      </c>
      <c r="K33" s="46"/>
      <c r="L33" s="46"/>
      <c r="M33" s="46"/>
      <c r="N33" s="46"/>
      <c r="O33" s="46"/>
      <c r="P33" s="46"/>
      <c r="Q33" s="46">
        <v>95</v>
      </c>
      <c r="R33" s="46" t="s">
        <v>75</v>
      </c>
      <c r="S33" s="46"/>
      <c r="T33" s="46">
        <v>95</v>
      </c>
      <c r="U33" s="46">
        <v>0</v>
      </c>
      <c r="V33" s="63">
        <f t="shared" si="10"/>
        <v>95</v>
      </c>
      <c r="W33" s="106">
        <f>Summary!$C$20*K33+Summary!$C$21*L33+Summary!$C$22*M33+Summary!$C$23*N33+Summary!$C$24*O33+Summary!$C$25*P33+Summary!$C$26*Q33</f>
        <v>947.15000000000009</v>
      </c>
      <c r="X33" t="s">
        <v>72</v>
      </c>
      <c r="Y33">
        <v>95</v>
      </c>
      <c r="Z33">
        <v>95</v>
      </c>
      <c r="AF33" s="79"/>
      <c r="AG33" s="79"/>
      <c r="AH33" s="79"/>
      <c r="AI33" s="79"/>
      <c r="AJ33" s="79"/>
      <c r="AK33" s="79" t="s">
        <v>71</v>
      </c>
      <c r="AL33" s="30"/>
      <c r="AM33" s="29"/>
    </row>
    <row r="34" spans="1:39" x14ac:dyDescent="0.3">
      <c r="A34">
        <v>31</v>
      </c>
      <c r="B34" s="50">
        <f t="shared" si="1"/>
        <v>354</v>
      </c>
      <c r="C34" s="46">
        <f t="shared" si="2"/>
        <v>826</v>
      </c>
      <c r="D34" s="129">
        <f t="shared" si="3"/>
        <v>359</v>
      </c>
      <c r="E34" s="46">
        <f t="shared" si="4"/>
        <v>0</v>
      </c>
      <c r="F34" s="46">
        <f t="shared" si="5"/>
        <v>0</v>
      </c>
      <c r="G34" s="46">
        <f t="shared" si="6"/>
        <v>0</v>
      </c>
      <c r="H34" s="46">
        <f t="shared" si="7"/>
        <v>160</v>
      </c>
      <c r="I34" s="46">
        <f t="shared" si="8"/>
        <v>0</v>
      </c>
      <c r="J34" s="129">
        <f t="shared" si="9"/>
        <v>307</v>
      </c>
      <c r="K34" s="46"/>
      <c r="L34" s="46"/>
      <c r="M34" s="46"/>
      <c r="N34" s="46"/>
      <c r="O34" s="46"/>
      <c r="P34" s="46"/>
      <c r="Q34" s="46">
        <v>95</v>
      </c>
      <c r="R34" s="46"/>
      <c r="S34" s="46"/>
      <c r="T34" s="46"/>
      <c r="U34" s="46"/>
      <c r="V34" s="63">
        <f t="shared" si="10"/>
        <v>95</v>
      </c>
      <c r="W34" s="106">
        <f>Summary!$C$20*K34+Summary!$C$21*L34+Summary!$C$22*M34+Summary!$C$23*N34+Summary!$C$24*O34+Summary!$C$25*P34+Summary!$C$26*Q34</f>
        <v>947.15000000000009</v>
      </c>
      <c r="AF34" s="79"/>
      <c r="AG34" s="79"/>
      <c r="AH34" s="79"/>
      <c r="AI34" s="79"/>
      <c r="AJ34" s="79"/>
      <c r="AK34" s="79" t="s">
        <v>71</v>
      </c>
      <c r="AL34" s="30"/>
      <c r="AM34" s="29"/>
    </row>
    <row r="35" spans="1:39" x14ac:dyDescent="0.3">
      <c r="A35">
        <v>1</v>
      </c>
      <c r="B35" s="50">
        <f t="shared" si="1"/>
        <v>266</v>
      </c>
      <c r="C35" s="46">
        <f t="shared" si="2"/>
        <v>914</v>
      </c>
      <c r="D35" s="46">
        <f t="shared" si="3"/>
        <v>274</v>
      </c>
      <c r="E35" s="46">
        <f t="shared" si="4"/>
        <v>0</v>
      </c>
      <c r="F35" s="46">
        <f t="shared" si="5"/>
        <v>0</v>
      </c>
      <c r="G35" s="128">
        <f>G34-N35+180</f>
        <v>180</v>
      </c>
      <c r="H35" s="46">
        <f t="shared" si="7"/>
        <v>160</v>
      </c>
      <c r="I35" s="46">
        <f t="shared" si="8"/>
        <v>0</v>
      </c>
      <c r="J35" s="129">
        <f t="shared" si="9"/>
        <v>300</v>
      </c>
      <c r="K35" s="46">
        <v>85</v>
      </c>
      <c r="L35" s="46"/>
      <c r="M35" s="46"/>
      <c r="N35" s="46"/>
      <c r="O35" s="46"/>
      <c r="P35" s="46"/>
      <c r="Q35" s="46">
        <v>7</v>
      </c>
      <c r="R35" s="46"/>
      <c r="S35" s="46"/>
      <c r="T35" s="46"/>
      <c r="U35" s="46"/>
      <c r="V35" s="63">
        <f t="shared" si="10"/>
        <v>92</v>
      </c>
      <c r="W35" s="106">
        <f>Summary!$C$20*K35+Summary!$C$21*L35+Summary!$C$22*M35+Summary!$C$23*N35+Summary!$C$24*O35+Summary!$C$25*P35+Summary!$C$26*Q35</f>
        <v>1417.04</v>
      </c>
      <c r="AF35" s="79"/>
      <c r="AG35" s="79"/>
      <c r="AH35" s="79"/>
      <c r="AI35" s="79"/>
      <c r="AJ35" s="79"/>
      <c r="AK35" s="79" t="s">
        <v>71</v>
      </c>
      <c r="AL35" s="30"/>
      <c r="AM35" s="29"/>
    </row>
    <row r="36" spans="1:39" x14ac:dyDescent="0.3">
      <c r="A36">
        <v>2</v>
      </c>
      <c r="B36" s="50">
        <f t="shared" si="1"/>
        <v>351</v>
      </c>
      <c r="C36" s="46">
        <f t="shared" si="2"/>
        <v>829</v>
      </c>
      <c r="D36" s="46">
        <f>D35-K36</f>
        <v>189</v>
      </c>
      <c r="E36" s="46">
        <f t="shared" si="4"/>
        <v>0</v>
      </c>
      <c r="F36" s="46">
        <f t="shared" si="5"/>
        <v>0</v>
      </c>
      <c r="G36" s="128">
        <f t="shared" si="6"/>
        <v>180</v>
      </c>
      <c r="H36" s="46">
        <f t="shared" si="7"/>
        <v>160</v>
      </c>
      <c r="I36" s="46">
        <f t="shared" si="8"/>
        <v>0</v>
      </c>
      <c r="J36" s="129">
        <f>J35-Q36</f>
        <v>300</v>
      </c>
      <c r="K36" s="46">
        <v>85</v>
      </c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63">
        <f t="shared" si="10"/>
        <v>85</v>
      </c>
      <c r="W36" s="106">
        <f>Summary!$C$20*K36+Summary!$C$21*L36+Summary!$C$22*M36+Summary!$C$23*N36+Summary!$C$24*O36+Summary!$C$25*P36+Summary!$C$26*Q36</f>
        <v>1347.25</v>
      </c>
      <c r="AF36" s="79"/>
      <c r="AG36" s="79"/>
      <c r="AH36" s="79"/>
      <c r="AI36" s="79"/>
      <c r="AJ36" s="79"/>
      <c r="AK36" s="79" t="s">
        <v>85</v>
      </c>
      <c r="AL36" s="30"/>
      <c r="AM36" s="29"/>
    </row>
    <row r="37" spans="1:39" x14ac:dyDescent="0.3">
      <c r="A37">
        <v>3</v>
      </c>
      <c r="B37" s="50">
        <f t="shared" si="1"/>
        <v>261</v>
      </c>
      <c r="C37" s="46">
        <f t="shared" si="2"/>
        <v>919</v>
      </c>
      <c r="D37" s="128">
        <f>D36-K37+175</f>
        <v>279</v>
      </c>
      <c r="E37" s="46">
        <f t="shared" si="4"/>
        <v>0</v>
      </c>
      <c r="F37" s="46">
        <f t="shared" si="5"/>
        <v>0</v>
      </c>
      <c r="G37" s="129">
        <f t="shared" si="6"/>
        <v>180</v>
      </c>
      <c r="H37" s="46">
        <f t="shared" si="7"/>
        <v>160</v>
      </c>
      <c r="I37" s="46">
        <f t="shared" si="8"/>
        <v>0</v>
      </c>
      <c r="J37" s="46">
        <f t="shared" si="9"/>
        <v>300</v>
      </c>
      <c r="K37" s="46">
        <v>85</v>
      </c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63">
        <f>SUM(K37:Q37)</f>
        <v>85</v>
      </c>
      <c r="W37" s="106">
        <f>Summary!$C$20*K37+Summary!$C$21*L37+Summary!$C$22*M37+Summary!$C$23*N37+Summary!$C$24*O37+Summary!$C$25*P37+Summary!$C$26*Q37</f>
        <v>1347.25</v>
      </c>
      <c r="AF37" s="30"/>
      <c r="AG37" s="30"/>
      <c r="AH37" s="30"/>
      <c r="AI37" s="30"/>
      <c r="AJ37" s="30"/>
      <c r="AL37" s="30"/>
      <c r="AM37" s="29"/>
    </row>
    <row r="38" spans="1:39" x14ac:dyDescent="0.3">
      <c r="A38">
        <v>4</v>
      </c>
      <c r="B38" s="50">
        <f t="shared" si="1"/>
        <v>346</v>
      </c>
      <c r="C38" s="46">
        <f t="shared" si="2"/>
        <v>834</v>
      </c>
      <c r="D38" s="128">
        <f t="shared" si="3"/>
        <v>194</v>
      </c>
      <c r="E38" s="46">
        <f t="shared" si="4"/>
        <v>0</v>
      </c>
      <c r="F38" s="46">
        <f t="shared" si="5"/>
        <v>0</v>
      </c>
      <c r="G38" s="129">
        <f t="shared" si="6"/>
        <v>180</v>
      </c>
      <c r="H38" s="46">
        <f t="shared" si="7"/>
        <v>160</v>
      </c>
      <c r="I38" s="46">
        <f t="shared" si="8"/>
        <v>0</v>
      </c>
      <c r="J38" s="46">
        <f t="shared" si="9"/>
        <v>300</v>
      </c>
      <c r="K38" s="46">
        <v>85</v>
      </c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63">
        <f t="shared" si="10"/>
        <v>85</v>
      </c>
      <c r="W38" s="106">
        <f>Summary!$C$20*K38+Summary!$C$21*L38+Summary!$C$22*M38+Summary!$C$23*N38+Summary!$C$24*O38+Summary!$C$25*P38+Summary!$C$26*Q38</f>
        <v>1347.25</v>
      </c>
    </row>
    <row r="39" spans="1:39" x14ac:dyDescent="0.3">
      <c r="A39">
        <v>5</v>
      </c>
      <c r="B39" s="50">
        <f t="shared" si="1"/>
        <v>141</v>
      </c>
      <c r="C39" s="46">
        <f t="shared" si="2"/>
        <v>1039</v>
      </c>
      <c r="D39" s="129">
        <f t="shared" si="3"/>
        <v>194</v>
      </c>
      <c r="E39" s="46">
        <f t="shared" si="4"/>
        <v>0</v>
      </c>
      <c r="F39" s="46">
        <f t="shared" si="5"/>
        <v>0</v>
      </c>
      <c r="G39" s="129">
        <f t="shared" si="6"/>
        <v>180</v>
      </c>
      <c r="H39" s="46">
        <f t="shared" si="7"/>
        <v>160</v>
      </c>
      <c r="I39" s="128">
        <f>I38-P39+300</f>
        <v>300</v>
      </c>
      <c r="J39" s="46">
        <f t="shared" si="9"/>
        <v>205</v>
      </c>
      <c r="K39" s="46"/>
      <c r="L39" s="46"/>
      <c r="M39" s="46"/>
      <c r="N39" s="46"/>
      <c r="O39" s="46"/>
      <c r="P39" s="46"/>
      <c r="Q39" s="46">
        <v>95</v>
      </c>
      <c r="R39" s="46"/>
      <c r="S39" s="46"/>
      <c r="T39" s="46"/>
      <c r="U39" s="46"/>
      <c r="V39" s="63">
        <f t="shared" si="10"/>
        <v>95</v>
      </c>
      <c r="W39" s="106">
        <f>Summary!$C$20*K39+Summary!$C$21*L39+Summary!$C$22*M39+Summary!$C$23*N39+Summary!$C$24*O39+Summary!$C$25*P39+Summary!$C$26*Q39</f>
        <v>947.15000000000009</v>
      </c>
    </row>
    <row r="40" spans="1:39" x14ac:dyDescent="0.3">
      <c r="A40">
        <v>6</v>
      </c>
      <c r="B40" s="50">
        <f t="shared" si="1"/>
        <v>236</v>
      </c>
      <c r="C40" s="46">
        <f t="shared" si="2"/>
        <v>944</v>
      </c>
      <c r="D40" s="129">
        <f t="shared" si="3"/>
        <v>194</v>
      </c>
      <c r="E40" s="46">
        <f t="shared" si="4"/>
        <v>0</v>
      </c>
      <c r="F40" s="46">
        <f t="shared" si="5"/>
        <v>0</v>
      </c>
      <c r="G40" s="46">
        <f t="shared" si="6"/>
        <v>180</v>
      </c>
      <c r="H40" s="46">
        <f t="shared" si="7"/>
        <v>160</v>
      </c>
      <c r="I40" s="128">
        <f t="shared" si="8"/>
        <v>300</v>
      </c>
      <c r="J40" s="46">
        <f t="shared" si="9"/>
        <v>110</v>
      </c>
      <c r="K40" s="46"/>
      <c r="L40" s="46"/>
      <c r="M40" s="46"/>
      <c r="N40" s="46"/>
      <c r="O40" s="46"/>
      <c r="P40" s="46"/>
      <c r="Q40" s="46">
        <v>95</v>
      </c>
      <c r="R40" s="46"/>
      <c r="S40" s="46"/>
      <c r="T40" s="46"/>
      <c r="U40" s="46"/>
      <c r="V40" s="63">
        <f t="shared" si="10"/>
        <v>95</v>
      </c>
      <c r="W40" s="106">
        <f>Summary!$C$20*K40+Summary!$C$21*L40+Summary!$C$22*M40+Summary!$C$23*N40+Summary!$C$24*O40+Summary!$C$25*P40+Summary!$C$26*Q40</f>
        <v>947.15000000000009</v>
      </c>
    </row>
    <row r="41" spans="1:39" x14ac:dyDescent="0.3">
      <c r="A41">
        <v>7</v>
      </c>
      <c r="B41" s="50">
        <f t="shared" si="1"/>
        <v>331</v>
      </c>
      <c r="C41" s="46">
        <f t="shared" si="2"/>
        <v>849</v>
      </c>
      <c r="D41" s="129">
        <f t="shared" si="3"/>
        <v>194</v>
      </c>
      <c r="E41" s="46">
        <f t="shared" si="4"/>
        <v>0</v>
      </c>
      <c r="F41" s="46">
        <f t="shared" si="5"/>
        <v>0</v>
      </c>
      <c r="G41" s="46">
        <f t="shared" si="6"/>
        <v>180</v>
      </c>
      <c r="H41" s="46">
        <f t="shared" si="7"/>
        <v>160</v>
      </c>
      <c r="I41" s="129">
        <f t="shared" si="8"/>
        <v>300</v>
      </c>
      <c r="J41" s="46">
        <f t="shared" si="9"/>
        <v>15</v>
      </c>
      <c r="K41" s="46"/>
      <c r="L41" s="46"/>
      <c r="M41" s="46"/>
      <c r="N41" s="46"/>
      <c r="O41" s="46"/>
      <c r="P41" s="46"/>
      <c r="Q41" s="46">
        <v>95</v>
      </c>
      <c r="R41" s="46"/>
      <c r="S41" s="46"/>
      <c r="T41" s="46"/>
      <c r="U41" s="46"/>
      <c r="V41" s="63">
        <f t="shared" si="10"/>
        <v>95</v>
      </c>
      <c r="W41" s="106">
        <f>Summary!$C$20*K41+Summary!$C$21*L41+Summary!$C$22*M41+Summary!$C$23*N41+Summary!$C$24*O41+Summary!$C$25*P41+Summary!$C$26*Q41</f>
        <v>947.15000000000009</v>
      </c>
    </row>
    <row r="42" spans="1:39" x14ac:dyDescent="0.3">
      <c r="A42">
        <v>8</v>
      </c>
      <c r="B42" s="50">
        <f t="shared" si="1"/>
        <v>423</v>
      </c>
      <c r="C42" s="46">
        <f t="shared" si="2"/>
        <v>757</v>
      </c>
      <c r="D42" s="46">
        <f t="shared" si="3"/>
        <v>194</v>
      </c>
      <c r="E42" s="46">
        <f t="shared" si="4"/>
        <v>0</v>
      </c>
      <c r="F42" s="46">
        <f t="shared" si="5"/>
        <v>0</v>
      </c>
      <c r="G42" s="46">
        <f t="shared" si="6"/>
        <v>135</v>
      </c>
      <c r="H42" s="46">
        <f t="shared" si="7"/>
        <v>128</v>
      </c>
      <c r="I42" s="129">
        <f t="shared" si="8"/>
        <v>300</v>
      </c>
      <c r="J42" s="46">
        <f t="shared" si="9"/>
        <v>0</v>
      </c>
      <c r="K42" s="46"/>
      <c r="L42" s="46"/>
      <c r="M42" s="46"/>
      <c r="N42" s="46">
        <v>45</v>
      </c>
      <c r="O42" s="46">
        <v>32</v>
      </c>
      <c r="P42" s="46"/>
      <c r="Q42" s="46">
        <v>15</v>
      </c>
      <c r="R42" s="46"/>
      <c r="S42" s="46"/>
      <c r="T42" s="46"/>
      <c r="U42" s="46"/>
      <c r="V42" s="63">
        <f t="shared" si="10"/>
        <v>92</v>
      </c>
      <c r="W42" s="106">
        <f>Summary!$C$20*K42+Summary!$C$21*L42+Summary!$C$22*M42+Summary!$C$23*N42+Summary!$C$24*O42+Summary!$C$25*P42+Summary!$C$26*Q42</f>
        <v>1373.4299999999998</v>
      </c>
    </row>
    <row r="43" spans="1:39" x14ac:dyDescent="0.3">
      <c r="A43">
        <v>9</v>
      </c>
      <c r="B43" s="50">
        <f t="shared" si="1"/>
        <v>503</v>
      </c>
      <c r="C43" s="46">
        <f t="shared" si="2"/>
        <v>677</v>
      </c>
      <c r="D43" s="46">
        <f t="shared" si="3"/>
        <v>194</v>
      </c>
      <c r="E43" s="46">
        <f t="shared" si="4"/>
        <v>0</v>
      </c>
      <c r="F43" s="46">
        <f t="shared" si="5"/>
        <v>0</v>
      </c>
      <c r="G43" s="46">
        <f t="shared" si="6"/>
        <v>90</v>
      </c>
      <c r="H43" s="46">
        <f t="shared" si="7"/>
        <v>93</v>
      </c>
      <c r="I43" s="129">
        <f t="shared" si="8"/>
        <v>300</v>
      </c>
      <c r="J43" s="46">
        <f t="shared" si="9"/>
        <v>0</v>
      </c>
      <c r="K43" s="46"/>
      <c r="L43" s="46"/>
      <c r="M43" s="46"/>
      <c r="N43" s="46">
        <v>45</v>
      </c>
      <c r="O43" s="46">
        <v>35</v>
      </c>
      <c r="P43" s="46"/>
      <c r="Q43" s="46"/>
      <c r="R43" s="46"/>
      <c r="S43" s="46"/>
      <c r="T43" s="46"/>
      <c r="U43" s="46"/>
      <c r="V43" s="63">
        <f t="shared" si="10"/>
        <v>80</v>
      </c>
      <c r="W43" s="106">
        <f>Summary!$C$20*K43+Summary!$C$21*L43+Summary!$C$22*M43+Summary!$C$23*N43+Summary!$C$24*O43+Summary!$C$25*P43+Summary!$C$26*Q43</f>
        <v>1257.4499999999998</v>
      </c>
    </row>
    <row r="44" spans="1:39" x14ac:dyDescent="0.3">
      <c r="A44">
        <v>10</v>
      </c>
      <c r="B44" s="50">
        <f t="shared" si="1"/>
        <v>583</v>
      </c>
      <c r="C44" s="46">
        <f>SUM(D44:J44)</f>
        <v>597</v>
      </c>
      <c r="D44" s="46">
        <f t="shared" si="3"/>
        <v>194</v>
      </c>
      <c r="E44" s="46">
        <f t="shared" si="4"/>
        <v>0</v>
      </c>
      <c r="F44" s="46">
        <f t="shared" si="5"/>
        <v>0</v>
      </c>
      <c r="G44" s="46">
        <f t="shared" si="6"/>
        <v>45</v>
      </c>
      <c r="H44" s="46">
        <f>H43-O44</f>
        <v>58</v>
      </c>
      <c r="I44" s="46">
        <f t="shared" si="8"/>
        <v>300</v>
      </c>
      <c r="J44" s="46">
        <f t="shared" si="9"/>
        <v>0</v>
      </c>
      <c r="K44" s="46"/>
      <c r="L44" s="46"/>
      <c r="M44" s="46"/>
      <c r="N44" s="46">
        <v>45</v>
      </c>
      <c r="O44" s="46">
        <v>35</v>
      </c>
      <c r="P44" s="46"/>
      <c r="Q44" s="46"/>
      <c r="R44" s="46"/>
      <c r="S44" s="46"/>
      <c r="T44" s="46"/>
      <c r="U44" s="46"/>
      <c r="V44" s="46"/>
      <c r="W44" s="46"/>
    </row>
    <row r="45" spans="1:39" x14ac:dyDescent="0.3">
      <c r="B45" s="50"/>
      <c r="C45" s="46"/>
      <c r="D45" s="46"/>
      <c r="E45" s="46"/>
      <c r="F45" s="46"/>
      <c r="G45" s="46"/>
      <c r="H45" s="46"/>
      <c r="I45" s="46"/>
      <c r="J45" s="46" t="s">
        <v>208</v>
      </c>
      <c r="K45" s="103">
        <f>SUM(K4:K43)</f>
        <v>1215</v>
      </c>
      <c r="L45" s="103">
        <f t="shared" ref="L45:P45" si="11">SUM(L4:L43)</f>
        <v>190</v>
      </c>
      <c r="M45" s="103">
        <f t="shared" si="11"/>
        <v>0</v>
      </c>
      <c r="N45" s="103">
        <f t="shared" si="11"/>
        <v>260</v>
      </c>
      <c r="O45" s="103">
        <f t="shared" si="11"/>
        <v>67</v>
      </c>
      <c r="P45" s="103">
        <f t="shared" si="11"/>
        <v>650</v>
      </c>
      <c r="Q45" s="103">
        <f>SUM(Q4:Q43)</f>
        <v>1333</v>
      </c>
      <c r="R45" s="46"/>
      <c r="S45" s="46"/>
      <c r="T45" s="46"/>
      <c r="U45" s="46"/>
      <c r="V45" s="46"/>
      <c r="W45" s="108">
        <f t="shared" ref="W45" si="12">SUM(W4:W43)</f>
        <v>48296.19</v>
      </c>
    </row>
    <row r="46" spans="1:39" x14ac:dyDescent="0.3">
      <c r="B46" s="50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</row>
    <row r="47" spans="1:39" x14ac:dyDescent="0.3">
      <c r="Q47" s="40" t="s">
        <v>86</v>
      </c>
      <c r="V47" s="116">
        <f>AVERAGE(V4:V33)</f>
        <v>93.86666666666666</v>
      </c>
      <c r="W47" t="s">
        <v>87</v>
      </c>
    </row>
    <row r="48" spans="1:39" x14ac:dyDescent="0.3">
      <c r="Q48" s="40" t="s">
        <v>88</v>
      </c>
      <c r="V48" s="113">
        <f>AVERAGE(V4:V43)</f>
        <v>92.875</v>
      </c>
      <c r="W48" t="s">
        <v>87</v>
      </c>
    </row>
    <row r="49" spans="17:33" x14ac:dyDescent="0.3">
      <c r="Q49" s="40"/>
      <c r="W49" s="28"/>
    </row>
    <row r="50" spans="17:33" x14ac:dyDescent="0.3">
      <c r="Q50" s="40" t="s">
        <v>89</v>
      </c>
      <c r="V50" s="114">
        <f>SUM(V4:V43)</f>
        <v>3715</v>
      </c>
      <c r="W50" t="s">
        <v>90</v>
      </c>
    </row>
    <row r="51" spans="17:33" x14ac:dyDescent="0.3">
      <c r="Q51" s="40" t="s">
        <v>91</v>
      </c>
      <c r="V51" s="46">
        <f>C3</f>
        <v>787</v>
      </c>
      <c r="W51" t="s">
        <v>90</v>
      </c>
    </row>
    <row r="52" spans="17:33" x14ac:dyDescent="0.3">
      <c r="Q52" s="40" t="s">
        <v>92</v>
      </c>
      <c r="V52">
        <v>2910</v>
      </c>
      <c r="W52" t="s">
        <v>90</v>
      </c>
    </row>
    <row r="53" spans="17:33" x14ac:dyDescent="0.3">
      <c r="Q53" s="40" t="s">
        <v>93</v>
      </c>
      <c r="V53" s="4">
        <f>C44</f>
        <v>597</v>
      </c>
      <c r="W53" t="s">
        <v>90</v>
      </c>
      <c r="AG53" s="28">
        <f>V51+V52</f>
        <v>3697</v>
      </c>
    </row>
    <row r="54" spans="17:33" x14ac:dyDescent="0.3">
      <c r="Q54" s="40"/>
      <c r="W54" s="28"/>
      <c r="AG54" s="38">
        <f>AG53-V50</f>
        <v>-18</v>
      </c>
    </row>
    <row r="55" spans="17:33" x14ac:dyDescent="0.3">
      <c r="Q55" s="40" t="s">
        <v>94</v>
      </c>
      <c r="V55" s="112">
        <v>3</v>
      </c>
      <c r="W55" t="s">
        <v>95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  <ignoredErrors>
    <ignoredError sqref="D11:J11 F9:G9 I9:J9 D10:G10 I10:J10 D13:J14 D12:H12 J12 D28:J29 E27:F27 H27:J27 D33:J34 D32:G32 D22:J23 D21:H21 J21 D16:J16 D15:H15 D18:J19 D17 G17:J17 E20:J20 D25:J26 D24:H24 D31:J31 E30:J30 D35:F35 H35:J35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40FD-2496-4837-9DDC-9390A9562D0F}">
  <dimension ref="A1:AN53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K26" sqref="AK26:AK27"/>
    </sheetView>
  </sheetViews>
  <sheetFormatPr defaultRowHeight="14.4" x14ac:dyDescent="0.3"/>
  <cols>
    <col min="1" max="1" width="7.33203125" customWidth="1"/>
    <col min="2" max="2" width="10.88671875" customWidth="1"/>
    <col min="3" max="3" width="10" customWidth="1"/>
    <col min="4" max="4" width="14.88671875" style="25" customWidth="1"/>
    <col min="5" max="5" width="12.33203125" customWidth="1"/>
    <col min="6" max="12" width="10.6640625" customWidth="1"/>
    <col min="13" max="13" width="10.44140625" customWidth="1"/>
    <col min="14" max="19" width="7.5546875" customWidth="1"/>
    <col min="20" max="20" width="14.33203125" hidden="1" customWidth="1"/>
    <col min="21" max="21" width="16.33203125" hidden="1" customWidth="1"/>
    <col min="22" max="22" width="12.6640625" hidden="1" customWidth="1"/>
    <col min="23" max="23" width="14.88671875" hidden="1" customWidth="1"/>
    <col min="24" max="24" width="12" customWidth="1"/>
    <col min="25" max="27" width="15.6640625" hidden="1" customWidth="1"/>
    <col min="28" max="28" width="8.6640625" hidden="1" customWidth="1"/>
    <col min="29" max="32" width="0" hidden="1" customWidth="1"/>
    <col min="33" max="34" width="16.5546875" style="28" customWidth="1"/>
    <col min="35" max="35" width="13.44140625" style="28" customWidth="1"/>
    <col min="36" max="36" width="13.88671875" style="28" customWidth="1"/>
    <col min="37" max="39" width="16.5546875" style="28" customWidth="1"/>
  </cols>
  <sheetData>
    <row r="1" spans="1:40" x14ac:dyDescent="0.3">
      <c r="B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40" ht="28.8" x14ac:dyDescent="0.3">
      <c r="A2" s="1" t="s">
        <v>16</v>
      </c>
      <c r="B2" s="7" t="s">
        <v>17</v>
      </c>
      <c r="C2" s="7" t="s">
        <v>96</v>
      </c>
      <c r="D2" s="7" t="s">
        <v>97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7" t="s">
        <v>24</v>
      </c>
      <c r="L2" s="7" t="s">
        <v>25</v>
      </c>
      <c r="M2" s="7" t="s">
        <v>26</v>
      </c>
      <c r="N2" s="7" t="s">
        <v>27</v>
      </c>
      <c r="O2" s="7" t="s">
        <v>28</v>
      </c>
      <c r="P2" s="7" t="s">
        <v>29</v>
      </c>
      <c r="Q2" s="7" t="s">
        <v>30</v>
      </c>
      <c r="R2" s="7" t="s">
        <v>31</v>
      </c>
      <c r="S2" s="7" t="s">
        <v>32</v>
      </c>
      <c r="T2" s="7" t="s">
        <v>33</v>
      </c>
      <c r="U2" s="7" t="s">
        <v>34</v>
      </c>
      <c r="V2" s="7" t="s">
        <v>35</v>
      </c>
      <c r="W2" s="7" t="s">
        <v>36</v>
      </c>
      <c r="X2" s="7" t="s">
        <v>37</v>
      </c>
      <c r="Y2" s="1" t="s">
        <v>38</v>
      </c>
      <c r="Z2" s="1" t="s">
        <v>39</v>
      </c>
      <c r="AA2" s="1" t="s">
        <v>40</v>
      </c>
      <c r="AB2" s="2" t="s">
        <v>41</v>
      </c>
      <c r="AC2" s="2" t="s">
        <v>42</v>
      </c>
      <c r="AD2" s="2" t="s">
        <v>43</v>
      </c>
      <c r="AE2" s="2" t="s">
        <v>44</v>
      </c>
      <c r="AF2" s="2" t="s">
        <v>45</v>
      </c>
      <c r="AG2" s="7" t="s">
        <v>46</v>
      </c>
      <c r="AH2" s="7" t="s">
        <v>47</v>
      </c>
      <c r="AI2" s="7" t="s">
        <v>48</v>
      </c>
      <c r="AJ2" s="7" t="s">
        <v>49</v>
      </c>
      <c r="AK2" s="7" t="s">
        <v>50</v>
      </c>
      <c r="AL2" s="1" t="s">
        <v>51</v>
      </c>
      <c r="AM2" s="1" t="s">
        <v>52</v>
      </c>
    </row>
    <row r="3" spans="1:40" x14ac:dyDescent="0.3">
      <c r="A3" s="41">
        <v>0</v>
      </c>
      <c r="B3" s="50">
        <f>1180-E3</f>
        <v>130</v>
      </c>
      <c r="C3" s="23"/>
      <c r="D3" s="5"/>
      <c r="E3" s="45">
        <f>SUM(F3:L3)</f>
        <v>1050</v>
      </c>
      <c r="F3" s="45">
        <v>350</v>
      </c>
      <c r="G3" s="45">
        <v>0</v>
      </c>
      <c r="H3" s="45">
        <v>150</v>
      </c>
      <c r="I3" s="45">
        <v>150</v>
      </c>
      <c r="J3" s="45">
        <v>100</v>
      </c>
      <c r="K3" s="45">
        <v>0</v>
      </c>
      <c r="L3" s="45">
        <v>300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/>
      <c r="U3" s="45"/>
      <c r="V3" s="45"/>
      <c r="W3" s="45"/>
      <c r="X3" s="45">
        <v>0</v>
      </c>
      <c r="Y3" s="5"/>
      <c r="Z3" s="5"/>
      <c r="AA3" s="5"/>
      <c r="AB3" s="5"/>
      <c r="AC3" s="5"/>
      <c r="AD3" s="5"/>
      <c r="AE3" s="5"/>
      <c r="AF3" s="5"/>
      <c r="AG3" s="54"/>
      <c r="AH3" s="54"/>
      <c r="AI3" s="54"/>
      <c r="AJ3" s="54"/>
      <c r="AK3" s="54"/>
      <c r="AL3" s="54"/>
      <c r="AM3" s="54"/>
      <c r="AN3" s="29"/>
    </row>
    <row r="4" spans="1:40" x14ac:dyDescent="0.3">
      <c r="A4">
        <v>1</v>
      </c>
      <c r="B4" s="50">
        <f>1180-E4</f>
        <v>130</v>
      </c>
      <c r="C4" s="23"/>
      <c r="D4" s="32"/>
      <c r="E4" s="46">
        <f>SUM(F4:L4)</f>
        <v>1050</v>
      </c>
      <c r="F4" s="46">
        <f>F3-M3</f>
        <v>350</v>
      </c>
      <c r="G4" s="46">
        <v>0</v>
      </c>
      <c r="H4" s="46">
        <v>150</v>
      </c>
      <c r="I4" s="46">
        <f t="shared" ref="I4:J19" si="0">I3-P3</f>
        <v>150</v>
      </c>
      <c r="J4" s="46">
        <v>100</v>
      </c>
      <c r="K4" s="46">
        <v>0</v>
      </c>
      <c r="L4" s="46">
        <v>300</v>
      </c>
      <c r="M4" s="46">
        <f>95*0.73</f>
        <v>69.349999999999994</v>
      </c>
      <c r="N4" s="46">
        <v>0</v>
      </c>
      <c r="O4" s="46">
        <v>0</v>
      </c>
      <c r="P4" s="46">
        <f>95*0.27</f>
        <v>25.650000000000002</v>
      </c>
      <c r="Q4" s="46">
        <v>0</v>
      </c>
      <c r="R4" s="46">
        <v>0</v>
      </c>
      <c r="S4" s="46">
        <v>0</v>
      </c>
      <c r="T4" s="46" t="s">
        <v>53</v>
      </c>
      <c r="U4" s="46" t="s">
        <v>54</v>
      </c>
      <c r="V4" s="46">
        <v>57.599999999999987</v>
      </c>
      <c r="W4" s="46">
        <v>38.4</v>
      </c>
      <c r="X4" s="46">
        <f>SUM(M4:S4)</f>
        <v>95</v>
      </c>
      <c r="Y4" t="s">
        <v>55</v>
      </c>
      <c r="Z4">
        <v>96</v>
      </c>
      <c r="AA4">
        <v>96</v>
      </c>
      <c r="AG4" s="30" t="s">
        <v>56</v>
      </c>
      <c r="AH4" s="54"/>
      <c r="AI4" s="54"/>
      <c r="AJ4" s="54"/>
      <c r="AK4" s="54"/>
      <c r="AL4" s="54"/>
      <c r="AM4" s="30"/>
      <c r="AN4" s="29"/>
    </row>
    <row r="5" spans="1:40" x14ac:dyDescent="0.3">
      <c r="A5">
        <v>2</v>
      </c>
      <c r="B5" s="50">
        <f t="shared" ref="B5:B44" si="1">1180-E5</f>
        <v>225</v>
      </c>
      <c r="C5" s="23"/>
      <c r="D5" s="32"/>
      <c r="E5" s="46">
        <f t="shared" ref="E5:E43" si="2">SUM(F5:L5)</f>
        <v>955</v>
      </c>
      <c r="F5" s="46">
        <f t="shared" ref="F5:J20" si="3">F4-M4</f>
        <v>280.64999999999998</v>
      </c>
      <c r="G5" s="46">
        <f>G4-N4</f>
        <v>0</v>
      </c>
      <c r="H5" s="46">
        <f>H4-O4</f>
        <v>150</v>
      </c>
      <c r="I5" s="46">
        <f t="shared" si="0"/>
        <v>124.35</v>
      </c>
      <c r="J5" s="46">
        <f>J4-Q4</f>
        <v>100</v>
      </c>
      <c r="K5" s="46">
        <f>K4-R4</f>
        <v>0</v>
      </c>
      <c r="L5" s="46">
        <f>L4-S4</f>
        <v>300</v>
      </c>
      <c r="M5" s="46">
        <f>95*0.73</f>
        <v>69.349999999999994</v>
      </c>
      <c r="N5" s="46">
        <v>0</v>
      </c>
      <c r="O5" s="46">
        <v>0</v>
      </c>
      <c r="P5" s="46">
        <f>95*0.27</f>
        <v>25.650000000000002</v>
      </c>
      <c r="Q5" s="46">
        <v>0</v>
      </c>
      <c r="R5" s="46">
        <v>0</v>
      </c>
      <c r="S5" s="46">
        <v>0</v>
      </c>
      <c r="T5" s="46" t="s">
        <v>53</v>
      </c>
      <c r="U5" s="46" t="s">
        <v>54</v>
      </c>
      <c r="V5" s="46">
        <v>57.599999999999987</v>
      </c>
      <c r="W5" s="46">
        <v>38.4</v>
      </c>
      <c r="X5" s="46">
        <f t="shared" ref="X5:X43" si="4">SUM(M5:S5)</f>
        <v>95</v>
      </c>
      <c r="Y5" t="s">
        <v>55</v>
      </c>
      <c r="Z5">
        <v>96</v>
      </c>
      <c r="AA5">
        <v>96</v>
      </c>
      <c r="AG5" s="30" t="s">
        <v>57</v>
      </c>
      <c r="AH5" s="54"/>
      <c r="AI5" s="54"/>
      <c r="AJ5" s="54"/>
      <c r="AK5" s="54"/>
      <c r="AL5" s="54"/>
      <c r="AM5" s="30"/>
      <c r="AN5" s="29"/>
    </row>
    <row r="6" spans="1:40" x14ac:dyDescent="0.3">
      <c r="A6">
        <v>3</v>
      </c>
      <c r="B6" s="50">
        <f t="shared" si="1"/>
        <v>320</v>
      </c>
      <c r="C6" s="23"/>
      <c r="D6" s="32"/>
      <c r="E6" s="46">
        <f t="shared" si="2"/>
        <v>860</v>
      </c>
      <c r="F6" s="46">
        <f t="shared" si="3"/>
        <v>211.29999999999998</v>
      </c>
      <c r="G6" s="46">
        <f t="shared" si="3"/>
        <v>0</v>
      </c>
      <c r="H6" s="46">
        <f t="shared" si="3"/>
        <v>150</v>
      </c>
      <c r="I6" s="46">
        <f t="shared" si="0"/>
        <v>98.699999999999989</v>
      </c>
      <c r="J6" s="46">
        <f>J5-Q5</f>
        <v>100</v>
      </c>
      <c r="K6" s="46">
        <f t="shared" ref="K6:L21" si="5">K5-R5</f>
        <v>0</v>
      </c>
      <c r="L6" s="46">
        <f t="shared" si="5"/>
        <v>300</v>
      </c>
      <c r="M6" s="46">
        <f>95*0.73</f>
        <v>69.349999999999994</v>
      </c>
      <c r="N6" s="46">
        <v>0</v>
      </c>
      <c r="O6" s="46">
        <v>0</v>
      </c>
      <c r="P6" s="46">
        <f>95*0.27</f>
        <v>25.650000000000002</v>
      </c>
      <c r="Q6" s="46">
        <v>0</v>
      </c>
      <c r="R6" s="46">
        <v>0</v>
      </c>
      <c r="S6" s="46">
        <v>0</v>
      </c>
      <c r="T6" s="46" t="s">
        <v>53</v>
      </c>
      <c r="U6" s="46" t="s">
        <v>54</v>
      </c>
      <c r="V6" s="46">
        <v>34.799999999999997</v>
      </c>
      <c r="W6" s="46">
        <v>23.2</v>
      </c>
      <c r="X6" s="46">
        <f t="shared" si="4"/>
        <v>95</v>
      </c>
      <c r="Y6" t="s">
        <v>55</v>
      </c>
      <c r="Z6">
        <v>58.000000000000007</v>
      </c>
      <c r="AA6">
        <v>96</v>
      </c>
      <c r="AG6" s="30" t="s">
        <v>58</v>
      </c>
      <c r="AH6" s="54"/>
      <c r="AI6" s="54"/>
      <c r="AJ6" s="54"/>
      <c r="AK6" s="54"/>
      <c r="AL6" s="54"/>
      <c r="AM6" s="30"/>
      <c r="AN6" s="29"/>
    </row>
    <row r="7" spans="1:40" x14ac:dyDescent="0.3">
      <c r="A7">
        <v>4</v>
      </c>
      <c r="B7" s="50">
        <f t="shared" si="1"/>
        <v>415</v>
      </c>
      <c r="C7" s="23"/>
      <c r="D7" s="32"/>
      <c r="E7" s="46">
        <f t="shared" si="2"/>
        <v>765</v>
      </c>
      <c r="F7" s="46">
        <f t="shared" si="3"/>
        <v>141.94999999999999</v>
      </c>
      <c r="G7" s="46">
        <f t="shared" si="3"/>
        <v>0</v>
      </c>
      <c r="H7" s="46">
        <f t="shared" si="3"/>
        <v>150</v>
      </c>
      <c r="I7" s="46">
        <f t="shared" si="0"/>
        <v>73.049999999999983</v>
      </c>
      <c r="J7" s="46">
        <f>J6-Q6</f>
        <v>100</v>
      </c>
      <c r="K7" s="46">
        <f t="shared" si="5"/>
        <v>0</v>
      </c>
      <c r="L7" s="46">
        <f t="shared" si="5"/>
        <v>300</v>
      </c>
      <c r="M7" s="46">
        <f>95*0.73</f>
        <v>69.349999999999994</v>
      </c>
      <c r="N7" s="46">
        <v>0</v>
      </c>
      <c r="O7" s="46">
        <v>0</v>
      </c>
      <c r="P7" s="46">
        <f>95*0.27</f>
        <v>25.650000000000002</v>
      </c>
      <c r="Q7" s="46">
        <v>0</v>
      </c>
      <c r="R7" s="46">
        <v>0</v>
      </c>
      <c r="S7" s="46">
        <v>0</v>
      </c>
      <c r="T7" s="46" t="s">
        <v>59</v>
      </c>
      <c r="U7" s="46" t="s">
        <v>60</v>
      </c>
      <c r="V7" s="46">
        <v>25.65</v>
      </c>
      <c r="W7" s="46">
        <v>69.349999999999994</v>
      </c>
      <c r="X7" s="46">
        <f t="shared" si="4"/>
        <v>95</v>
      </c>
      <c r="Y7" t="s">
        <v>61</v>
      </c>
      <c r="Z7">
        <v>95</v>
      </c>
      <c r="AA7">
        <v>95</v>
      </c>
      <c r="AG7" s="30" t="s">
        <v>58</v>
      </c>
      <c r="AH7" s="54"/>
      <c r="AI7" s="54"/>
      <c r="AJ7" s="54"/>
      <c r="AK7" s="54"/>
      <c r="AL7" s="54"/>
      <c r="AM7" s="30"/>
      <c r="AN7" s="29"/>
    </row>
    <row r="8" spans="1:40" x14ac:dyDescent="0.3">
      <c r="A8">
        <v>5</v>
      </c>
      <c r="B8" s="50">
        <f t="shared" si="1"/>
        <v>510</v>
      </c>
      <c r="C8" s="23"/>
      <c r="D8" s="32"/>
      <c r="E8" s="46">
        <f>SUM(F8:L8)</f>
        <v>670</v>
      </c>
      <c r="F8" s="46">
        <f t="shared" si="3"/>
        <v>72.599999999999994</v>
      </c>
      <c r="G8" s="46">
        <f t="shared" si="3"/>
        <v>0</v>
      </c>
      <c r="H8" s="46">
        <f t="shared" si="3"/>
        <v>150</v>
      </c>
      <c r="I8" s="46">
        <f t="shared" si="0"/>
        <v>47.399999999999977</v>
      </c>
      <c r="J8" s="46">
        <f t="shared" si="0"/>
        <v>100</v>
      </c>
      <c r="K8" s="46">
        <f t="shared" si="5"/>
        <v>0</v>
      </c>
      <c r="L8" s="46">
        <f t="shared" si="5"/>
        <v>300</v>
      </c>
      <c r="M8" s="46">
        <f>95*0.73</f>
        <v>69.349999999999994</v>
      </c>
      <c r="N8" s="46">
        <v>0</v>
      </c>
      <c r="O8" s="46">
        <v>0</v>
      </c>
      <c r="P8" s="46">
        <f>95*0.27</f>
        <v>25.650000000000002</v>
      </c>
      <c r="Q8" s="46">
        <v>0</v>
      </c>
      <c r="R8" s="46">
        <v>0</v>
      </c>
      <c r="S8" s="46">
        <v>0</v>
      </c>
      <c r="T8" s="46" t="s">
        <v>62</v>
      </c>
      <c r="U8" s="46" t="s">
        <v>60</v>
      </c>
      <c r="V8" s="46">
        <v>25.92</v>
      </c>
      <c r="W8" s="46">
        <v>70.08</v>
      </c>
      <c r="X8" s="46">
        <f t="shared" si="4"/>
        <v>95</v>
      </c>
      <c r="Y8" t="s">
        <v>61</v>
      </c>
      <c r="Z8">
        <v>96</v>
      </c>
      <c r="AA8">
        <v>96</v>
      </c>
      <c r="AG8" s="30" t="s">
        <v>63</v>
      </c>
      <c r="AH8" s="54" t="s">
        <v>64</v>
      </c>
      <c r="AI8" s="54"/>
      <c r="AJ8" s="54"/>
      <c r="AK8" s="54"/>
      <c r="AL8" s="54"/>
      <c r="AM8" s="30"/>
      <c r="AN8" s="29"/>
    </row>
    <row r="9" spans="1:40" x14ac:dyDescent="0.3">
      <c r="A9">
        <v>6</v>
      </c>
      <c r="B9" s="50">
        <f t="shared" si="1"/>
        <v>55</v>
      </c>
      <c r="C9" s="23"/>
      <c r="D9" s="36" t="s">
        <v>98</v>
      </c>
      <c r="E9" s="46">
        <f>SUM(F9:L9)</f>
        <v>1125</v>
      </c>
      <c r="F9" s="47">
        <f>F8-M8+400</f>
        <v>403.25</v>
      </c>
      <c r="G9" s="47">
        <f>G8-N8+150</f>
        <v>150</v>
      </c>
      <c r="H9" s="46">
        <f t="shared" si="3"/>
        <v>150</v>
      </c>
      <c r="I9" s="46">
        <f t="shared" si="0"/>
        <v>21.749999999999975</v>
      </c>
      <c r="J9" s="46">
        <f t="shared" si="0"/>
        <v>100</v>
      </c>
      <c r="K9" s="46">
        <f t="shared" si="5"/>
        <v>0</v>
      </c>
      <c r="L9" s="46">
        <f t="shared" si="5"/>
        <v>300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95</v>
      </c>
      <c r="T9" s="46" t="s">
        <v>62</v>
      </c>
      <c r="U9" s="46" t="s">
        <v>60</v>
      </c>
      <c r="V9" s="46">
        <v>25.92</v>
      </c>
      <c r="W9" s="46">
        <v>70.08</v>
      </c>
      <c r="X9" s="46">
        <f t="shared" si="4"/>
        <v>95</v>
      </c>
      <c r="Y9" t="s">
        <v>61</v>
      </c>
      <c r="Z9">
        <v>96</v>
      </c>
      <c r="AA9">
        <v>96</v>
      </c>
      <c r="AG9" s="30" t="s">
        <v>63</v>
      </c>
      <c r="AH9" s="54" t="s">
        <v>99</v>
      </c>
      <c r="AI9" s="54"/>
      <c r="AJ9" s="54"/>
      <c r="AK9" s="54"/>
      <c r="AL9" s="54"/>
      <c r="AM9" s="30"/>
      <c r="AN9" s="29"/>
    </row>
    <row r="10" spans="1:40" x14ac:dyDescent="0.3">
      <c r="A10">
        <v>7</v>
      </c>
      <c r="B10" s="50">
        <f t="shared" si="1"/>
        <v>150</v>
      </c>
      <c r="C10" s="23"/>
      <c r="D10" s="32"/>
      <c r="E10" s="46">
        <f>SUM(F10:L10)</f>
        <v>1030</v>
      </c>
      <c r="F10" s="47">
        <f t="shared" ref="F10:L25" si="6">F9-M9</f>
        <v>403.25</v>
      </c>
      <c r="G10" s="47">
        <f>G9-N9</f>
        <v>150</v>
      </c>
      <c r="H10" s="46">
        <f t="shared" si="3"/>
        <v>150</v>
      </c>
      <c r="I10" s="46">
        <f t="shared" si="3"/>
        <v>21.749999999999975</v>
      </c>
      <c r="J10" s="46">
        <f t="shared" si="0"/>
        <v>100</v>
      </c>
      <c r="K10" s="46">
        <f t="shared" si="5"/>
        <v>0</v>
      </c>
      <c r="L10" s="46">
        <f t="shared" si="5"/>
        <v>205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95</v>
      </c>
      <c r="T10" s="46" t="s">
        <v>62</v>
      </c>
      <c r="U10" s="46" t="s">
        <v>60</v>
      </c>
      <c r="V10" s="46">
        <v>25.92</v>
      </c>
      <c r="W10" s="46">
        <v>70.08</v>
      </c>
      <c r="X10" s="46">
        <f t="shared" si="4"/>
        <v>95</v>
      </c>
      <c r="Y10" t="s">
        <v>61</v>
      </c>
      <c r="Z10">
        <v>96</v>
      </c>
      <c r="AA10">
        <v>96</v>
      </c>
      <c r="AG10" s="54" t="s">
        <v>71</v>
      </c>
      <c r="AH10" s="54" t="s">
        <v>99</v>
      </c>
      <c r="AI10" s="54" t="s">
        <v>69</v>
      </c>
      <c r="AJ10" s="54"/>
      <c r="AK10" s="54"/>
      <c r="AL10" s="54"/>
      <c r="AM10" s="30"/>
      <c r="AN10" s="29"/>
    </row>
    <row r="11" spans="1:40" x14ac:dyDescent="0.3">
      <c r="A11">
        <v>8</v>
      </c>
      <c r="B11" s="50">
        <f t="shared" si="1"/>
        <v>245</v>
      </c>
      <c r="C11" s="23"/>
      <c r="D11" s="32"/>
      <c r="E11" s="46">
        <f t="shared" si="2"/>
        <v>935</v>
      </c>
      <c r="F11" s="47">
        <f t="shared" si="6"/>
        <v>403.25</v>
      </c>
      <c r="G11" s="47">
        <f t="shared" si="6"/>
        <v>150</v>
      </c>
      <c r="H11" s="46">
        <f t="shared" si="3"/>
        <v>150</v>
      </c>
      <c r="I11" s="46">
        <f t="shared" si="3"/>
        <v>21.749999999999975</v>
      </c>
      <c r="J11" s="46">
        <f t="shared" si="0"/>
        <v>100</v>
      </c>
      <c r="K11" s="46">
        <f t="shared" si="5"/>
        <v>0</v>
      </c>
      <c r="L11" s="46">
        <f t="shared" si="5"/>
        <v>110</v>
      </c>
      <c r="M11" s="46">
        <v>0</v>
      </c>
      <c r="N11" s="46">
        <v>0</v>
      </c>
      <c r="O11" s="46">
        <v>0</v>
      </c>
      <c r="P11" s="46">
        <v>0</v>
      </c>
      <c r="Q11" s="46">
        <v>0</v>
      </c>
      <c r="R11" s="46">
        <v>0</v>
      </c>
      <c r="S11" s="46">
        <v>95</v>
      </c>
      <c r="T11" s="46" t="s">
        <v>62</v>
      </c>
      <c r="U11" s="46" t="s">
        <v>60</v>
      </c>
      <c r="V11" s="46">
        <v>25.92</v>
      </c>
      <c r="W11" s="46">
        <v>70.08</v>
      </c>
      <c r="X11" s="46">
        <f t="shared" si="4"/>
        <v>95</v>
      </c>
      <c r="Y11" t="s">
        <v>61</v>
      </c>
      <c r="Z11">
        <v>96</v>
      </c>
      <c r="AA11">
        <v>96</v>
      </c>
      <c r="AG11" s="54" t="s">
        <v>71</v>
      </c>
      <c r="AH11" s="54" t="s">
        <v>99</v>
      </c>
      <c r="AI11" s="28" t="s">
        <v>100</v>
      </c>
      <c r="AJ11" s="54"/>
      <c r="AK11" s="54"/>
      <c r="AL11" s="54"/>
      <c r="AN11" s="29"/>
    </row>
    <row r="12" spans="1:40" x14ac:dyDescent="0.3">
      <c r="A12">
        <v>9</v>
      </c>
      <c r="B12" s="50">
        <f t="shared" si="1"/>
        <v>340</v>
      </c>
      <c r="C12" s="23"/>
      <c r="D12" s="32"/>
      <c r="E12" s="46">
        <f t="shared" si="2"/>
        <v>840</v>
      </c>
      <c r="F12" s="47">
        <f t="shared" si="6"/>
        <v>403.25</v>
      </c>
      <c r="G12" s="47">
        <f t="shared" si="6"/>
        <v>150</v>
      </c>
      <c r="H12" s="46">
        <f t="shared" si="3"/>
        <v>150</v>
      </c>
      <c r="I12" s="46">
        <f t="shared" si="3"/>
        <v>21.749999999999975</v>
      </c>
      <c r="J12" s="46">
        <f t="shared" si="0"/>
        <v>100</v>
      </c>
      <c r="K12" s="46">
        <f>K11-R11</f>
        <v>0</v>
      </c>
      <c r="L12" s="46">
        <f>L11-S11</f>
        <v>15</v>
      </c>
      <c r="M12" s="46">
        <v>0</v>
      </c>
      <c r="N12" s="46">
        <v>0</v>
      </c>
      <c r="O12" s="46">
        <f>(95-S12)*0.6</f>
        <v>48</v>
      </c>
      <c r="P12" s="46">
        <v>0</v>
      </c>
      <c r="Q12" s="46">
        <f>(95-S12)*0.4</f>
        <v>32</v>
      </c>
      <c r="R12" s="46">
        <v>0</v>
      </c>
      <c r="S12" s="46">
        <f>L12</f>
        <v>15</v>
      </c>
      <c r="T12" s="46" t="s">
        <v>62</v>
      </c>
      <c r="U12" s="46" t="s">
        <v>60</v>
      </c>
      <c r="V12" s="46">
        <v>25.92</v>
      </c>
      <c r="W12" s="46">
        <v>70.08</v>
      </c>
      <c r="X12" s="46">
        <f>SUM(M12:S12)</f>
        <v>95</v>
      </c>
      <c r="Y12" t="s">
        <v>61</v>
      </c>
      <c r="Z12">
        <v>96</v>
      </c>
      <c r="AA12">
        <v>96</v>
      </c>
      <c r="AG12" s="54" t="s">
        <v>71</v>
      </c>
      <c r="AH12" s="54" t="s">
        <v>69</v>
      </c>
      <c r="AI12" s="28" t="s">
        <v>100</v>
      </c>
      <c r="AJ12" s="54"/>
      <c r="AK12" s="54"/>
      <c r="AL12" s="54"/>
      <c r="AN12" s="29"/>
    </row>
    <row r="13" spans="1:40" x14ac:dyDescent="0.3">
      <c r="A13" s="6">
        <v>10</v>
      </c>
      <c r="B13" s="50">
        <f t="shared" si="1"/>
        <v>435</v>
      </c>
      <c r="C13" s="24"/>
      <c r="D13" s="33"/>
      <c r="E13" s="48">
        <f>SUM(F13:L13)</f>
        <v>745</v>
      </c>
      <c r="F13" s="47">
        <f>F12-M12</f>
        <v>403.25</v>
      </c>
      <c r="G13" s="47">
        <f>G12-N12</f>
        <v>150</v>
      </c>
      <c r="H13" s="48">
        <f t="shared" si="3"/>
        <v>102</v>
      </c>
      <c r="I13" s="48">
        <f t="shared" si="3"/>
        <v>21.749999999999975</v>
      </c>
      <c r="J13" s="48">
        <f t="shared" si="0"/>
        <v>68</v>
      </c>
      <c r="K13" s="48">
        <f t="shared" si="5"/>
        <v>0</v>
      </c>
      <c r="L13" s="48">
        <f>L12-S12</f>
        <v>0</v>
      </c>
      <c r="M13" s="48">
        <v>0</v>
      </c>
      <c r="N13" s="48">
        <v>0</v>
      </c>
      <c r="O13" s="48">
        <f>96*0.6</f>
        <v>57.599999999999994</v>
      </c>
      <c r="P13" s="48">
        <v>0</v>
      </c>
      <c r="Q13" s="48">
        <f>96*0.4</f>
        <v>38.400000000000006</v>
      </c>
      <c r="R13" s="48">
        <v>0</v>
      </c>
      <c r="S13" s="48">
        <v>0</v>
      </c>
      <c r="T13" s="48" t="s">
        <v>62</v>
      </c>
      <c r="U13" s="48" t="s">
        <v>60</v>
      </c>
      <c r="V13" s="48">
        <v>20.399999999999991</v>
      </c>
      <c r="W13" s="48">
        <v>55.15555555555553</v>
      </c>
      <c r="X13" s="48">
        <f t="shared" si="4"/>
        <v>96</v>
      </c>
      <c r="Y13" s="6" t="s">
        <v>61</v>
      </c>
      <c r="Z13" s="6">
        <v>75.555555555555515</v>
      </c>
      <c r="AA13" s="6">
        <v>96</v>
      </c>
      <c r="AB13" s="6"/>
      <c r="AC13" s="6"/>
      <c r="AD13" s="6"/>
      <c r="AE13" s="6"/>
      <c r="AF13" s="6"/>
      <c r="AG13" s="31" t="s">
        <v>68</v>
      </c>
      <c r="AH13" s="28" t="s">
        <v>101</v>
      </c>
      <c r="AI13" s="28" t="s">
        <v>100</v>
      </c>
      <c r="AJ13"/>
      <c r="AK13" s="54"/>
      <c r="AL13" s="54"/>
      <c r="AM13"/>
      <c r="AN13" s="29"/>
    </row>
    <row r="14" spans="1:40" x14ac:dyDescent="0.3">
      <c r="A14">
        <v>11</v>
      </c>
      <c r="B14" s="50">
        <f t="shared" si="1"/>
        <v>531</v>
      </c>
      <c r="C14" s="23"/>
      <c r="D14" s="32"/>
      <c r="E14" s="46">
        <f t="shared" si="2"/>
        <v>649</v>
      </c>
      <c r="F14" s="46">
        <f t="shared" si="6"/>
        <v>403.25</v>
      </c>
      <c r="G14" s="46">
        <f>G13-N13</f>
        <v>150</v>
      </c>
      <c r="H14" s="46">
        <f t="shared" si="3"/>
        <v>44.400000000000006</v>
      </c>
      <c r="I14" s="46">
        <f t="shared" si="3"/>
        <v>21.749999999999975</v>
      </c>
      <c r="J14" s="46">
        <f t="shared" si="0"/>
        <v>29.599999999999994</v>
      </c>
      <c r="K14" s="46">
        <f t="shared" si="5"/>
        <v>0</v>
      </c>
      <c r="L14" s="46">
        <f>L13-S13</f>
        <v>0</v>
      </c>
      <c r="M14" s="46">
        <f>(96-O14-Q14)*0.73</f>
        <v>16.059999999999992</v>
      </c>
      <c r="N14" s="46">
        <f>(96-O14-Q14)*0.27</f>
        <v>5.9399999999999977</v>
      </c>
      <c r="O14" s="46">
        <f>H14</f>
        <v>44.400000000000006</v>
      </c>
      <c r="P14" s="46">
        <v>0</v>
      </c>
      <c r="Q14" s="46">
        <f>(O14/60)*40</f>
        <v>29.600000000000005</v>
      </c>
      <c r="R14" s="46">
        <v>0</v>
      </c>
      <c r="S14" s="46">
        <v>0</v>
      </c>
      <c r="T14" s="46" t="s">
        <v>59</v>
      </c>
      <c r="U14" s="46" t="s">
        <v>60</v>
      </c>
      <c r="V14" s="46">
        <v>25.65</v>
      </c>
      <c r="W14" s="46">
        <v>69.349999999999994</v>
      </c>
      <c r="X14" s="46">
        <f t="shared" si="4"/>
        <v>96</v>
      </c>
      <c r="Y14" t="s">
        <v>61</v>
      </c>
      <c r="Z14">
        <v>95</v>
      </c>
      <c r="AA14">
        <v>95</v>
      </c>
      <c r="AG14" s="30"/>
      <c r="AH14" s="28" t="s">
        <v>58</v>
      </c>
      <c r="AI14" s="54" t="s">
        <v>63</v>
      </c>
      <c r="AJ14" s="54" t="s">
        <v>70</v>
      </c>
      <c r="AK14" s="30"/>
      <c r="AL14" s="54"/>
      <c r="AN14" s="29"/>
    </row>
    <row r="15" spans="1:40" x14ac:dyDescent="0.3">
      <c r="A15">
        <v>12</v>
      </c>
      <c r="B15" s="50">
        <f t="shared" si="1"/>
        <v>307</v>
      </c>
      <c r="C15" s="23"/>
      <c r="D15" s="36" t="s">
        <v>102</v>
      </c>
      <c r="E15" s="46">
        <f t="shared" si="2"/>
        <v>873</v>
      </c>
      <c r="F15" s="46">
        <f t="shared" si="6"/>
        <v>387.19</v>
      </c>
      <c r="G15" s="46">
        <f t="shared" si="6"/>
        <v>144.06</v>
      </c>
      <c r="H15" s="46">
        <f t="shared" si="3"/>
        <v>0</v>
      </c>
      <c r="I15" s="46">
        <f t="shared" si="3"/>
        <v>21.749999999999975</v>
      </c>
      <c r="J15" s="46">
        <f>J14-Q14</f>
        <v>0</v>
      </c>
      <c r="K15" s="47">
        <f>K14-R14</f>
        <v>0</v>
      </c>
      <c r="L15" s="47">
        <f>L14-S14+320</f>
        <v>320</v>
      </c>
      <c r="M15" s="46">
        <f>96*0.73</f>
        <v>70.08</v>
      </c>
      <c r="N15" s="46">
        <f>95*0.27</f>
        <v>25.650000000000002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6" t="s">
        <v>59</v>
      </c>
      <c r="U15" s="46" t="s">
        <v>60</v>
      </c>
      <c r="V15" s="46">
        <v>25.65</v>
      </c>
      <c r="W15" s="46">
        <v>69.349999999999994</v>
      </c>
      <c r="X15" s="46">
        <f t="shared" si="4"/>
        <v>95.73</v>
      </c>
      <c r="Y15" t="s">
        <v>61</v>
      </c>
      <c r="Z15">
        <v>95</v>
      </c>
      <c r="AA15">
        <v>95</v>
      </c>
      <c r="AG15" s="30"/>
      <c r="AH15" s="54" t="s">
        <v>58</v>
      </c>
      <c r="AI15" s="54" t="s">
        <v>63</v>
      </c>
      <c r="AJ15" s="54" t="s">
        <v>58</v>
      </c>
      <c r="AK15" s="30"/>
      <c r="AL15" s="30"/>
      <c r="AN15" s="29"/>
    </row>
    <row r="16" spans="1:40" x14ac:dyDescent="0.3">
      <c r="A16">
        <v>13</v>
      </c>
      <c r="B16" s="50">
        <f t="shared" si="1"/>
        <v>402.73</v>
      </c>
      <c r="C16" s="23"/>
      <c r="D16" s="32"/>
      <c r="E16" s="46">
        <f t="shared" si="2"/>
        <v>777.27</v>
      </c>
      <c r="F16" s="46">
        <f>F15-M15</f>
        <v>317.11</v>
      </c>
      <c r="G16" s="46">
        <f t="shared" si="6"/>
        <v>118.41</v>
      </c>
      <c r="H16" s="46">
        <f t="shared" si="3"/>
        <v>0</v>
      </c>
      <c r="I16" s="46">
        <f t="shared" si="3"/>
        <v>21.749999999999975</v>
      </c>
      <c r="J16" s="46">
        <f t="shared" si="0"/>
        <v>0</v>
      </c>
      <c r="K16" s="47">
        <f t="shared" si="5"/>
        <v>0</v>
      </c>
      <c r="L16" s="47">
        <f t="shared" si="5"/>
        <v>320</v>
      </c>
      <c r="M16" s="46">
        <f>96*0.73</f>
        <v>70.08</v>
      </c>
      <c r="N16" s="46">
        <f>95*0.27</f>
        <v>25.650000000000002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 t="s">
        <v>59</v>
      </c>
      <c r="U16" s="46" t="s">
        <v>60</v>
      </c>
      <c r="V16" s="46">
        <v>25.65</v>
      </c>
      <c r="W16" s="46">
        <v>69.349999999999994</v>
      </c>
      <c r="X16" s="46">
        <f t="shared" si="4"/>
        <v>95.73</v>
      </c>
      <c r="Y16" t="s">
        <v>61</v>
      </c>
      <c r="Z16">
        <v>95</v>
      </c>
      <c r="AA16">
        <v>95</v>
      </c>
      <c r="AG16" s="30"/>
      <c r="AH16" s="54" t="s">
        <v>63</v>
      </c>
      <c r="AI16" s="54" t="s">
        <v>71</v>
      </c>
      <c r="AJ16" s="54" t="s">
        <v>58</v>
      </c>
      <c r="AK16" s="30"/>
      <c r="AL16" s="30"/>
      <c r="AN16" s="29"/>
    </row>
    <row r="17" spans="1:40" x14ac:dyDescent="0.3">
      <c r="A17">
        <v>14</v>
      </c>
      <c r="B17" s="50">
        <f t="shared" si="1"/>
        <v>348.46000000000004</v>
      </c>
      <c r="C17" s="23"/>
      <c r="D17" s="36" t="s">
        <v>103</v>
      </c>
      <c r="E17" s="46">
        <f t="shared" si="2"/>
        <v>831.54</v>
      </c>
      <c r="F17" s="46">
        <f t="shared" si="6"/>
        <v>247.03000000000003</v>
      </c>
      <c r="G17" s="46">
        <f t="shared" si="6"/>
        <v>92.759999999999991</v>
      </c>
      <c r="H17" s="47">
        <f>H16-O16+150</f>
        <v>150</v>
      </c>
      <c r="I17" s="46">
        <f t="shared" si="3"/>
        <v>21.749999999999975</v>
      </c>
      <c r="J17" s="46">
        <f t="shared" si="0"/>
        <v>0</v>
      </c>
      <c r="K17" s="47">
        <f t="shared" si="5"/>
        <v>0</v>
      </c>
      <c r="L17" s="47">
        <f>L16-S16</f>
        <v>320</v>
      </c>
      <c r="M17" s="46">
        <f>96*0.73</f>
        <v>70.08</v>
      </c>
      <c r="N17" s="46">
        <f>95*0.27</f>
        <v>25.650000000000002</v>
      </c>
      <c r="O17" s="46">
        <v>0</v>
      </c>
      <c r="P17" s="46">
        <v>0</v>
      </c>
      <c r="Q17" s="46">
        <v>0</v>
      </c>
      <c r="R17" s="46">
        <v>0</v>
      </c>
      <c r="S17" s="46">
        <v>0</v>
      </c>
      <c r="T17" s="46" t="s">
        <v>59</v>
      </c>
      <c r="U17" s="46" t="s">
        <v>60</v>
      </c>
      <c r="V17" s="46">
        <v>24.797260273972611</v>
      </c>
      <c r="W17" s="46">
        <v>67.044444444444451</v>
      </c>
      <c r="X17" s="46">
        <f t="shared" si="4"/>
        <v>95.73</v>
      </c>
      <c r="Y17" t="s">
        <v>61</v>
      </c>
      <c r="Z17">
        <v>91.841704718417063</v>
      </c>
      <c r="AA17">
        <v>95</v>
      </c>
      <c r="AG17" s="30"/>
      <c r="AH17" s="54" t="s">
        <v>63</v>
      </c>
      <c r="AI17" s="54" t="s">
        <v>71</v>
      </c>
      <c r="AJ17" s="54" t="s">
        <v>58</v>
      </c>
      <c r="AK17" s="30"/>
      <c r="AL17" s="30"/>
      <c r="AN17" s="29"/>
    </row>
    <row r="18" spans="1:40" x14ac:dyDescent="0.3">
      <c r="A18">
        <v>15</v>
      </c>
      <c r="B18" s="50">
        <f t="shared" si="1"/>
        <v>444.18999999999994</v>
      </c>
      <c r="C18" s="23"/>
      <c r="D18" s="32"/>
      <c r="E18" s="46">
        <f t="shared" si="2"/>
        <v>735.81000000000006</v>
      </c>
      <c r="F18" s="46">
        <f>F17-M17</f>
        <v>176.95000000000005</v>
      </c>
      <c r="G18" s="46">
        <f t="shared" si="6"/>
        <v>67.109999999999985</v>
      </c>
      <c r="H18" s="47">
        <f t="shared" si="3"/>
        <v>150</v>
      </c>
      <c r="I18" s="46">
        <f t="shared" si="3"/>
        <v>21.749999999999975</v>
      </c>
      <c r="J18" s="46">
        <f t="shared" si="0"/>
        <v>0</v>
      </c>
      <c r="K18" s="47">
        <f t="shared" si="5"/>
        <v>0</v>
      </c>
      <c r="L18" s="47">
        <f t="shared" si="5"/>
        <v>320</v>
      </c>
      <c r="M18" s="46">
        <f>96*0.73</f>
        <v>70.08</v>
      </c>
      <c r="N18" s="46">
        <f>95*0.27</f>
        <v>25.650000000000002</v>
      </c>
      <c r="O18" s="46">
        <v>0</v>
      </c>
      <c r="P18" s="46">
        <v>0</v>
      </c>
      <c r="Q18" s="46">
        <v>0</v>
      </c>
      <c r="R18" s="46">
        <v>0</v>
      </c>
      <c r="S18" s="46">
        <v>0</v>
      </c>
      <c r="T18" s="46" t="s">
        <v>53</v>
      </c>
      <c r="U18" s="46"/>
      <c r="V18" s="46">
        <v>7.1054273576010019E-15</v>
      </c>
      <c r="W18" s="46">
        <v>0</v>
      </c>
      <c r="X18" s="46">
        <f t="shared" si="4"/>
        <v>95.73</v>
      </c>
      <c r="Y18" t="s">
        <v>72</v>
      </c>
      <c r="Z18">
        <v>7.1054273576010019E-15</v>
      </c>
      <c r="AA18">
        <v>96</v>
      </c>
      <c r="AG18" s="30"/>
      <c r="AH18" s="54" t="s">
        <v>71</v>
      </c>
      <c r="AI18" s="54" t="s">
        <v>71</v>
      </c>
      <c r="AJ18" s="54" t="s">
        <v>63</v>
      </c>
      <c r="AK18" s="30"/>
      <c r="AL18" s="30"/>
      <c r="AN18" s="29"/>
    </row>
    <row r="19" spans="1:40" x14ac:dyDescent="0.3">
      <c r="A19" s="6">
        <v>16</v>
      </c>
      <c r="B19" s="50">
        <f t="shared" si="1"/>
        <v>-10.079999999999927</v>
      </c>
      <c r="C19" s="24">
        <v>1</v>
      </c>
      <c r="D19" s="37" t="s">
        <v>104</v>
      </c>
      <c r="E19" s="48">
        <f t="shared" si="2"/>
        <v>1190.08</v>
      </c>
      <c r="F19" s="48">
        <f>F18-M18</f>
        <v>106.87000000000005</v>
      </c>
      <c r="G19" s="48">
        <f t="shared" si="6"/>
        <v>41.45999999999998</v>
      </c>
      <c r="H19" s="47">
        <f t="shared" si="3"/>
        <v>150</v>
      </c>
      <c r="I19" s="48">
        <f t="shared" si="3"/>
        <v>21.749999999999975</v>
      </c>
      <c r="J19" s="48">
        <f t="shared" si="0"/>
        <v>0</v>
      </c>
      <c r="K19" s="49">
        <f>K18-R18+550</f>
        <v>550</v>
      </c>
      <c r="L19" s="47">
        <f>L18-S18</f>
        <v>320</v>
      </c>
      <c r="M19" s="48">
        <v>70</v>
      </c>
      <c r="N19" s="48">
        <v>26</v>
      </c>
      <c r="O19" s="48">
        <v>0</v>
      </c>
      <c r="P19" s="48">
        <v>0</v>
      </c>
      <c r="Q19" s="48">
        <v>0</v>
      </c>
      <c r="R19" s="48">
        <v>0</v>
      </c>
      <c r="S19" s="48">
        <v>0</v>
      </c>
      <c r="T19" s="48" t="s">
        <v>59</v>
      </c>
      <c r="U19" s="48"/>
      <c r="V19" s="48">
        <v>95</v>
      </c>
      <c r="W19" s="48">
        <v>0</v>
      </c>
      <c r="X19" s="48">
        <f t="shared" si="4"/>
        <v>96</v>
      </c>
      <c r="Y19" s="6" t="s">
        <v>72</v>
      </c>
      <c r="Z19" s="6">
        <v>95</v>
      </c>
      <c r="AA19" s="6">
        <v>95</v>
      </c>
      <c r="AB19" s="6"/>
      <c r="AC19" s="6"/>
      <c r="AD19" s="6"/>
      <c r="AE19" s="6"/>
      <c r="AF19" s="6"/>
      <c r="AG19" s="31"/>
      <c r="AH19" s="54" t="s">
        <v>71</v>
      </c>
      <c r="AI19" s="31" t="s">
        <v>105</v>
      </c>
      <c r="AJ19" s="54" t="s">
        <v>63</v>
      </c>
      <c r="AK19" s="30"/>
      <c r="AL19" s="30"/>
      <c r="AM19"/>
      <c r="AN19" s="29"/>
    </row>
    <row r="20" spans="1:40" x14ac:dyDescent="0.3">
      <c r="A20">
        <v>17</v>
      </c>
      <c r="B20" s="50">
        <f t="shared" si="1"/>
        <v>85.920000000000073</v>
      </c>
      <c r="C20" s="23">
        <v>1</v>
      </c>
      <c r="D20" s="32"/>
      <c r="E20" s="46">
        <f t="shared" si="2"/>
        <v>1094.08</v>
      </c>
      <c r="F20" s="46">
        <f>F19-M19</f>
        <v>36.870000000000047</v>
      </c>
      <c r="G20" s="46">
        <f t="shared" si="6"/>
        <v>15.45999999999998</v>
      </c>
      <c r="H20" s="47">
        <f t="shared" si="3"/>
        <v>150</v>
      </c>
      <c r="I20" s="46">
        <f t="shared" si="3"/>
        <v>21.749999999999975</v>
      </c>
      <c r="J20" s="46">
        <f t="shared" si="3"/>
        <v>0</v>
      </c>
      <c r="K20" s="49">
        <f>K19-R19</f>
        <v>550</v>
      </c>
      <c r="L20" s="46">
        <f t="shared" si="5"/>
        <v>320</v>
      </c>
      <c r="M20" s="46">
        <f>F20</f>
        <v>36.870000000000047</v>
      </c>
      <c r="N20" s="46">
        <f>(M20/73)*27</f>
        <v>13.636849315068512</v>
      </c>
      <c r="O20" s="46">
        <v>0</v>
      </c>
      <c r="P20" s="46">
        <v>0</v>
      </c>
      <c r="Q20" s="46">
        <v>0</v>
      </c>
      <c r="R20" s="46">
        <v>0</v>
      </c>
      <c r="S20" s="46">
        <f>95-N20-M20</f>
        <v>44.493150684931436</v>
      </c>
      <c r="T20" s="46" t="s">
        <v>59</v>
      </c>
      <c r="U20" s="46"/>
      <c r="V20" s="46">
        <v>77.60273972602738</v>
      </c>
      <c r="W20" s="46">
        <v>0</v>
      </c>
      <c r="X20" s="46">
        <f t="shared" si="4"/>
        <v>95</v>
      </c>
      <c r="Y20" t="s">
        <v>72</v>
      </c>
      <c r="Z20">
        <v>77.60273972602738</v>
      </c>
      <c r="AA20">
        <v>95</v>
      </c>
      <c r="AG20" s="30"/>
      <c r="AH20" s="54" t="s">
        <v>71</v>
      </c>
      <c r="AJ20" s="54" t="s">
        <v>71</v>
      </c>
      <c r="AK20" s="30"/>
      <c r="AL20" s="30"/>
      <c r="AM20" s="30"/>
      <c r="AN20" s="29"/>
    </row>
    <row r="21" spans="1:40" x14ac:dyDescent="0.3">
      <c r="A21" s="6">
        <v>18</v>
      </c>
      <c r="B21" s="50">
        <f t="shared" si="1"/>
        <v>180.92000000000007</v>
      </c>
      <c r="C21" s="24">
        <v>1</v>
      </c>
      <c r="D21" s="33"/>
      <c r="E21" s="48">
        <f>SUM(F21:L21)</f>
        <v>999.07999999999993</v>
      </c>
      <c r="F21" s="48">
        <f>F20-M20</f>
        <v>0</v>
      </c>
      <c r="G21" s="48">
        <f t="shared" si="6"/>
        <v>1.823150684931468</v>
      </c>
      <c r="H21" s="47">
        <f t="shared" si="6"/>
        <v>150</v>
      </c>
      <c r="I21" s="48">
        <f t="shared" si="6"/>
        <v>21.749999999999975</v>
      </c>
      <c r="J21" s="48">
        <f t="shared" si="6"/>
        <v>0</v>
      </c>
      <c r="K21" s="49">
        <f>K20-R20</f>
        <v>550</v>
      </c>
      <c r="L21" s="48">
        <f t="shared" si="5"/>
        <v>275.50684931506856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95</v>
      </c>
      <c r="T21" s="48" t="s">
        <v>75</v>
      </c>
      <c r="U21" s="48"/>
      <c r="V21" s="48">
        <v>95</v>
      </c>
      <c r="W21" s="48">
        <v>0</v>
      </c>
      <c r="X21" s="48">
        <f t="shared" si="4"/>
        <v>95</v>
      </c>
      <c r="Y21" s="6" t="s">
        <v>72</v>
      </c>
      <c r="Z21" s="6">
        <v>95</v>
      </c>
      <c r="AA21" s="6">
        <v>95</v>
      </c>
      <c r="AB21" s="6"/>
      <c r="AC21" s="6"/>
      <c r="AD21" s="6"/>
      <c r="AE21" s="6"/>
      <c r="AF21" s="6"/>
      <c r="AG21" s="31"/>
      <c r="AH21" s="39" t="s">
        <v>106</v>
      </c>
      <c r="AJ21" s="54" t="s">
        <v>71</v>
      </c>
      <c r="AK21" s="30" t="s">
        <v>77</v>
      </c>
      <c r="AL21" s="30"/>
      <c r="AM21" s="30"/>
      <c r="AN21" s="29"/>
    </row>
    <row r="22" spans="1:40" x14ac:dyDescent="0.3">
      <c r="A22">
        <v>19</v>
      </c>
      <c r="B22" s="50">
        <f t="shared" si="1"/>
        <v>275.92000000000007</v>
      </c>
      <c r="C22" s="23"/>
      <c r="D22" s="32"/>
      <c r="E22" s="46">
        <f t="shared" si="2"/>
        <v>904.07999999999993</v>
      </c>
      <c r="F22" s="46">
        <f t="shared" si="6"/>
        <v>0</v>
      </c>
      <c r="G22" s="46">
        <f t="shared" si="6"/>
        <v>1.823150684931468</v>
      </c>
      <c r="H22" s="46">
        <f t="shared" si="6"/>
        <v>150</v>
      </c>
      <c r="I22" s="46">
        <f t="shared" si="6"/>
        <v>21.749999999999975</v>
      </c>
      <c r="J22" s="46">
        <f t="shared" si="6"/>
        <v>0</v>
      </c>
      <c r="K22" s="49">
        <f t="shared" si="6"/>
        <v>550</v>
      </c>
      <c r="L22" s="46">
        <f t="shared" si="6"/>
        <v>180.50684931506856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95</v>
      </c>
      <c r="T22" s="46" t="s">
        <v>53</v>
      </c>
      <c r="U22" s="46"/>
      <c r="V22" s="46">
        <v>96</v>
      </c>
      <c r="W22" s="46">
        <v>0</v>
      </c>
      <c r="X22" s="46">
        <f t="shared" si="4"/>
        <v>95</v>
      </c>
      <c r="Y22" t="s">
        <v>72</v>
      </c>
      <c r="Z22">
        <v>96</v>
      </c>
      <c r="AA22">
        <v>96</v>
      </c>
      <c r="AG22" s="30"/>
      <c r="AH22" s="30"/>
      <c r="AI22" s="30"/>
      <c r="AJ22" s="54" t="s">
        <v>71</v>
      </c>
      <c r="AK22" s="30" t="s">
        <v>78</v>
      </c>
      <c r="AL22" s="30"/>
      <c r="AM22" s="30"/>
      <c r="AN22" s="29"/>
    </row>
    <row r="23" spans="1:40" x14ac:dyDescent="0.3">
      <c r="A23" s="6">
        <v>20</v>
      </c>
      <c r="B23" s="50">
        <f t="shared" si="1"/>
        <v>370.92000000000007</v>
      </c>
      <c r="C23" s="24"/>
      <c r="D23" s="33"/>
      <c r="E23" s="48">
        <f t="shared" si="2"/>
        <v>809.07999999999993</v>
      </c>
      <c r="F23" s="48">
        <f t="shared" si="6"/>
        <v>0</v>
      </c>
      <c r="G23" s="48">
        <f t="shared" si="6"/>
        <v>1.823150684931468</v>
      </c>
      <c r="H23" s="48">
        <f t="shared" si="6"/>
        <v>150</v>
      </c>
      <c r="I23" s="48">
        <f t="shared" si="6"/>
        <v>21.749999999999975</v>
      </c>
      <c r="J23" s="48">
        <f t="shared" si="6"/>
        <v>0</v>
      </c>
      <c r="K23" s="49">
        <f>K22-R22</f>
        <v>550</v>
      </c>
      <c r="L23" s="48">
        <f t="shared" si="6"/>
        <v>85.506849315068564</v>
      </c>
      <c r="M23" s="48">
        <v>0</v>
      </c>
      <c r="N23" s="48">
        <v>0</v>
      </c>
      <c r="O23" s="48">
        <v>0</v>
      </c>
      <c r="P23" s="48">
        <v>0</v>
      </c>
      <c r="Q23" s="48">
        <v>0</v>
      </c>
      <c r="R23" s="48">
        <f>95-S23</f>
        <v>9.493150684931436</v>
      </c>
      <c r="S23" s="48">
        <f>L23</f>
        <v>85.506849315068564</v>
      </c>
      <c r="T23" s="48" t="s">
        <v>53</v>
      </c>
      <c r="U23" s="48"/>
      <c r="V23" s="48">
        <v>96</v>
      </c>
      <c r="W23" s="48">
        <v>0</v>
      </c>
      <c r="X23" s="48">
        <f t="shared" si="4"/>
        <v>95</v>
      </c>
      <c r="Y23" s="6" t="s">
        <v>72</v>
      </c>
      <c r="Z23" s="6">
        <v>96</v>
      </c>
      <c r="AA23" s="6">
        <v>96</v>
      </c>
      <c r="AB23" s="6"/>
      <c r="AC23" s="6"/>
      <c r="AD23" s="6"/>
      <c r="AE23" s="6"/>
      <c r="AF23" s="6"/>
      <c r="AG23" s="31"/>
      <c r="AH23" s="31"/>
      <c r="AI23" s="31"/>
      <c r="AJ23" s="39" t="s">
        <v>80</v>
      </c>
      <c r="AK23" s="30" t="s">
        <v>58</v>
      </c>
      <c r="AL23" s="30"/>
      <c r="AM23" s="30"/>
      <c r="AN23" s="29"/>
    </row>
    <row r="24" spans="1:40" x14ac:dyDescent="0.3">
      <c r="A24">
        <v>21</v>
      </c>
      <c r="B24" s="50">
        <f t="shared" si="1"/>
        <v>465.91999999999996</v>
      </c>
      <c r="C24" s="23"/>
      <c r="D24" s="32"/>
      <c r="E24" s="46">
        <f t="shared" si="2"/>
        <v>714.08</v>
      </c>
      <c r="F24" s="46">
        <f t="shared" si="6"/>
        <v>0</v>
      </c>
      <c r="G24" s="46">
        <f t="shared" si="6"/>
        <v>1.823150684931468</v>
      </c>
      <c r="H24" s="46">
        <f t="shared" si="6"/>
        <v>150</v>
      </c>
      <c r="I24" s="46">
        <f t="shared" si="6"/>
        <v>21.749999999999975</v>
      </c>
      <c r="J24" s="46">
        <f t="shared" si="6"/>
        <v>0</v>
      </c>
      <c r="K24" s="46">
        <f t="shared" si="6"/>
        <v>540.50684931506862</v>
      </c>
      <c r="L24" s="46">
        <f t="shared" si="6"/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95</v>
      </c>
      <c r="S24" s="46">
        <v>0</v>
      </c>
      <c r="T24" s="46" t="s">
        <v>53</v>
      </c>
      <c r="U24" s="46"/>
      <c r="V24" s="46">
        <v>8</v>
      </c>
      <c r="W24" s="46">
        <v>0</v>
      </c>
      <c r="X24" s="46">
        <f t="shared" si="4"/>
        <v>95</v>
      </c>
      <c r="Y24" t="s">
        <v>72</v>
      </c>
      <c r="Z24">
        <v>8</v>
      </c>
      <c r="AA24">
        <v>96</v>
      </c>
      <c r="AG24" s="30"/>
      <c r="AH24" s="30"/>
      <c r="AI24" s="30"/>
      <c r="AJ24" s="54"/>
      <c r="AK24" s="30" t="s">
        <v>58</v>
      </c>
      <c r="AL24" s="30" t="s">
        <v>79</v>
      </c>
      <c r="AM24" s="30"/>
      <c r="AN24" s="29"/>
    </row>
    <row r="25" spans="1:40" x14ac:dyDescent="0.3">
      <c r="A25">
        <v>22</v>
      </c>
      <c r="B25" s="50">
        <f t="shared" si="1"/>
        <v>560.91999999999996</v>
      </c>
      <c r="C25" s="23"/>
      <c r="D25" s="32"/>
      <c r="E25" s="46">
        <f>SUM(F25:L25)</f>
        <v>619.08000000000004</v>
      </c>
      <c r="F25" s="46">
        <f>F24-M24</f>
        <v>0</v>
      </c>
      <c r="G25" s="46">
        <f t="shared" si="6"/>
        <v>1.823150684931468</v>
      </c>
      <c r="H25" s="46">
        <f t="shared" si="6"/>
        <v>150</v>
      </c>
      <c r="I25" s="46">
        <f t="shared" si="6"/>
        <v>21.749999999999975</v>
      </c>
      <c r="J25" s="46">
        <f t="shared" si="6"/>
        <v>0</v>
      </c>
      <c r="K25" s="46">
        <f t="shared" si="6"/>
        <v>445.50684931506862</v>
      </c>
      <c r="L25" s="46">
        <f>L24-S24</f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95</v>
      </c>
      <c r="S25" s="46">
        <v>0</v>
      </c>
      <c r="T25" s="46" t="s">
        <v>60</v>
      </c>
      <c r="U25" s="46"/>
      <c r="V25" s="46">
        <v>87</v>
      </c>
      <c r="W25" s="46">
        <v>0</v>
      </c>
      <c r="X25" s="46">
        <f t="shared" si="4"/>
        <v>95</v>
      </c>
      <c r="Y25" t="s">
        <v>72</v>
      </c>
      <c r="Z25">
        <v>87</v>
      </c>
      <c r="AA25">
        <v>87</v>
      </c>
      <c r="AG25" s="30"/>
      <c r="AH25" s="30"/>
      <c r="AI25" s="30"/>
      <c r="AJ25" s="30"/>
      <c r="AK25" s="30" t="s">
        <v>63</v>
      </c>
      <c r="AL25" s="30" t="s">
        <v>81</v>
      </c>
      <c r="AM25" s="30"/>
      <c r="AN25" s="29"/>
    </row>
    <row r="26" spans="1:40" x14ac:dyDescent="0.3">
      <c r="A26">
        <v>23</v>
      </c>
      <c r="B26" s="50">
        <f t="shared" si="1"/>
        <v>95.920000000000073</v>
      </c>
      <c r="C26" s="23">
        <v>1</v>
      </c>
      <c r="D26" s="36" t="s">
        <v>107</v>
      </c>
      <c r="E26" s="46">
        <f t="shared" si="2"/>
        <v>1084.08</v>
      </c>
      <c r="F26" s="47">
        <f>F25-M25+360</f>
        <v>360</v>
      </c>
      <c r="G26" s="46">
        <f t="shared" ref="G26:H41" si="7">G25-N25</f>
        <v>1.823150684931468</v>
      </c>
      <c r="H26" s="46">
        <f t="shared" si="7"/>
        <v>150</v>
      </c>
      <c r="I26" s="47">
        <f>I25-P25+200</f>
        <v>221.74999999999997</v>
      </c>
      <c r="J26" s="46">
        <f t="shared" ref="I26:L41" si="8">J25-Q25</f>
        <v>0</v>
      </c>
      <c r="K26" s="46">
        <f t="shared" si="8"/>
        <v>350.50684931506862</v>
      </c>
      <c r="L26" s="46">
        <f>L25-S25</f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f>95-S26</f>
        <v>95</v>
      </c>
      <c r="S26" s="46">
        <v>0</v>
      </c>
      <c r="T26" s="46" t="s">
        <v>60</v>
      </c>
      <c r="U26" s="46"/>
      <c r="V26" s="46">
        <v>87</v>
      </c>
      <c r="W26" s="46">
        <v>0</v>
      </c>
      <c r="X26" s="46">
        <f t="shared" si="4"/>
        <v>95</v>
      </c>
      <c r="Y26" t="s">
        <v>72</v>
      </c>
      <c r="Z26">
        <v>87</v>
      </c>
      <c r="AA26">
        <v>87</v>
      </c>
      <c r="AG26" s="30"/>
      <c r="AH26" s="30"/>
      <c r="AI26" s="30"/>
      <c r="AJ26" s="30"/>
      <c r="AK26" s="30" t="s">
        <v>63</v>
      </c>
      <c r="AL26" s="30" t="s">
        <v>82</v>
      </c>
      <c r="AM26" s="30"/>
      <c r="AN26" s="29"/>
    </row>
    <row r="27" spans="1:40" x14ac:dyDescent="0.3">
      <c r="A27">
        <v>24</v>
      </c>
      <c r="B27" s="50">
        <f t="shared" si="1"/>
        <v>190.91999999999996</v>
      </c>
      <c r="C27" s="23">
        <v>1</v>
      </c>
      <c r="D27" s="32"/>
      <c r="E27" s="46">
        <f t="shared" si="2"/>
        <v>989.08</v>
      </c>
      <c r="F27" s="47">
        <f>F26-M26</f>
        <v>360</v>
      </c>
      <c r="G27" s="46">
        <f t="shared" si="7"/>
        <v>1.823150684931468</v>
      </c>
      <c r="H27" s="46">
        <f t="shared" si="7"/>
        <v>150</v>
      </c>
      <c r="I27" s="47">
        <f t="shared" si="8"/>
        <v>221.74999999999997</v>
      </c>
      <c r="J27" s="46">
        <f t="shared" si="8"/>
        <v>0</v>
      </c>
      <c r="K27" s="46">
        <f t="shared" si="8"/>
        <v>255.50684931506862</v>
      </c>
      <c r="L27" s="46">
        <f>L26-S26</f>
        <v>0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95</v>
      </c>
      <c r="S27" s="46">
        <v>0</v>
      </c>
      <c r="T27" s="46" t="s">
        <v>60</v>
      </c>
      <c r="U27" s="46"/>
      <c r="V27" s="46">
        <v>87</v>
      </c>
      <c r="W27" s="46">
        <v>0</v>
      </c>
      <c r="X27" s="46">
        <f t="shared" si="4"/>
        <v>95</v>
      </c>
      <c r="Y27" t="s">
        <v>72</v>
      </c>
      <c r="Z27">
        <v>87</v>
      </c>
      <c r="AA27">
        <v>87</v>
      </c>
      <c r="AG27" s="30"/>
      <c r="AH27" s="30"/>
      <c r="AI27" s="30"/>
      <c r="AJ27" s="30"/>
      <c r="AK27" s="30" t="s">
        <v>71</v>
      </c>
      <c r="AL27" s="30" t="s">
        <v>83</v>
      </c>
      <c r="AM27" s="30"/>
      <c r="AN27" s="29"/>
    </row>
    <row r="28" spans="1:40" x14ac:dyDescent="0.3">
      <c r="A28">
        <v>25</v>
      </c>
      <c r="B28" s="50">
        <f t="shared" si="1"/>
        <v>285.91999999999996</v>
      </c>
      <c r="C28" s="23"/>
      <c r="D28" s="32"/>
      <c r="E28" s="46">
        <f t="shared" si="2"/>
        <v>894.08</v>
      </c>
      <c r="F28" s="47">
        <f t="shared" ref="F28:L43" si="9">F27-M27</f>
        <v>360</v>
      </c>
      <c r="G28" s="46">
        <f t="shared" si="7"/>
        <v>1.823150684931468</v>
      </c>
      <c r="H28" s="46">
        <f t="shared" si="7"/>
        <v>150</v>
      </c>
      <c r="I28" s="47">
        <f t="shared" si="8"/>
        <v>221.74999999999997</v>
      </c>
      <c r="J28" s="46">
        <f t="shared" si="8"/>
        <v>0</v>
      </c>
      <c r="K28" s="46">
        <f t="shared" si="8"/>
        <v>160.50684931506862</v>
      </c>
      <c r="L28" s="46">
        <f>L27-S27</f>
        <v>0</v>
      </c>
      <c r="M28" s="46">
        <v>0</v>
      </c>
      <c r="N28" s="46">
        <v>0</v>
      </c>
      <c r="O28" s="46">
        <v>0</v>
      </c>
      <c r="P28" s="46">
        <v>0</v>
      </c>
      <c r="Q28" s="46">
        <v>0</v>
      </c>
      <c r="R28" s="46">
        <v>95</v>
      </c>
      <c r="S28" s="46">
        <v>0</v>
      </c>
      <c r="T28" s="46" t="s">
        <v>60</v>
      </c>
      <c r="U28" s="46"/>
      <c r="V28" s="46">
        <v>87</v>
      </c>
      <c r="W28" s="46">
        <v>0</v>
      </c>
      <c r="X28" s="46">
        <f t="shared" si="4"/>
        <v>95</v>
      </c>
      <c r="Y28" t="s">
        <v>72</v>
      </c>
      <c r="Z28">
        <v>87</v>
      </c>
      <c r="AA28">
        <v>87</v>
      </c>
      <c r="AG28" s="30"/>
      <c r="AH28" s="30"/>
      <c r="AI28" s="30"/>
      <c r="AJ28" s="30"/>
      <c r="AK28" s="30" t="s">
        <v>71</v>
      </c>
      <c r="AL28" s="30" t="s">
        <v>58</v>
      </c>
      <c r="AM28" s="30"/>
      <c r="AN28" s="29"/>
    </row>
    <row r="29" spans="1:40" x14ac:dyDescent="0.3">
      <c r="A29">
        <v>26</v>
      </c>
      <c r="B29" s="50">
        <f t="shared" si="1"/>
        <v>380.91999999999996</v>
      </c>
      <c r="C29" s="23"/>
      <c r="D29" s="32"/>
      <c r="E29" s="46">
        <f t="shared" si="2"/>
        <v>799.08</v>
      </c>
      <c r="F29" s="47">
        <f>F28-M28</f>
        <v>360</v>
      </c>
      <c r="G29" s="46">
        <f t="shared" si="7"/>
        <v>1.823150684931468</v>
      </c>
      <c r="H29" s="46">
        <f t="shared" si="7"/>
        <v>150</v>
      </c>
      <c r="I29" s="47">
        <f t="shared" si="8"/>
        <v>221.74999999999997</v>
      </c>
      <c r="J29" s="46">
        <f t="shared" si="8"/>
        <v>0</v>
      </c>
      <c r="K29" s="46">
        <f t="shared" si="8"/>
        <v>65.506849315068621</v>
      </c>
      <c r="L29" s="46">
        <f t="shared" si="8"/>
        <v>0</v>
      </c>
      <c r="M29" s="46">
        <v>0</v>
      </c>
      <c r="N29" s="46">
        <v>0</v>
      </c>
      <c r="O29" s="46">
        <v>0</v>
      </c>
      <c r="P29" s="46">
        <v>0</v>
      </c>
      <c r="Q29" s="46">
        <v>0</v>
      </c>
      <c r="R29" s="46">
        <v>95</v>
      </c>
      <c r="S29" s="46">
        <v>0</v>
      </c>
      <c r="T29" s="46" t="s">
        <v>60</v>
      </c>
      <c r="U29" s="46"/>
      <c r="V29" s="46">
        <v>12</v>
      </c>
      <c r="W29" s="46">
        <v>0</v>
      </c>
      <c r="X29" s="46">
        <f t="shared" si="4"/>
        <v>95</v>
      </c>
      <c r="Y29" t="s">
        <v>72</v>
      </c>
      <c r="Z29">
        <v>12</v>
      </c>
      <c r="AA29">
        <v>87</v>
      </c>
      <c r="AG29" s="30"/>
      <c r="AH29" s="30"/>
      <c r="AI29" s="30"/>
      <c r="AJ29" s="30"/>
      <c r="AK29" s="30" t="s">
        <v>71</v>
      </c>
      <c r="AL29" s="30" t="s">
        <v>58</v>
      </c>
      <c r="AM29" s="30"/>
      <c r="AN29" s="29"/>
    </row>
    <row r="30" spans="1:40" x14ac:dyDescent="0.3">
      <c r="A30" s="6">
        <v>27</v>
      </c>
      <c r="B30" s="50">
        <f t="shared" si="1"/>
        <v>475.91999999999996</v>
      </c>
      <c r="C30" s="24"/>
      <c r="D30" s="33"/>
      <c r="E30" s="48">
        <f t="shared" si="2"/>
        <v>704.08</v>
      </c>
      <c r="F30" s="47">
        <f>F29-M29</f>
        <v>360</v>
      </c>
      <c r="G30" s="48">
        <f t="shared" si="7"/>
        <v>1.823150684931468</v>
      </c>
      <c r="H30" s="48">
        <f t="shared" si="7"/>
        <v>150</v>
      </c>
      <c r="I30" s="47">
        <f>I29-P29</f>
        <v>221.74999999999997</v>
      </c>
      <c r="J30" s="48">
        <f>J29-Q29</f>
        <v>0</v>
      </c>
      <c r="K30" s="48">
        <f t="shared" si="8"/>
        <v>-29.493150684931379</v>
      </c>
      <c r="L30" s="48">
        <f t="shared" si="8"/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95</v>
      </c>
      <c r="S30" s="48">
        <v>0</v>
      </c>
      <c r="T30" s="48" t="s">
        <v>54</v>
      </c>
      <c r="U30" s="48"/>
      <c r="V30" s="48">
        <v>95</v>
      </c>
      <c r="W30" s="48">
        <v>0</v>
      </c>
      <c r="X30" s="48">
        <f t="shared" si="4"/>
        <v>95</v>
      </c>
      <c r="Y30" s="6" t="s">
        <v>72</v>
      </c>
      <c r="Z30" s="6">
        <v>95</v>
      </c>
      <c r="AA30" s="6">
        <v>95</v>
      </c>
      <c r="AB30" s="6"/>
      <c r="AC30" s="6"/>
      <c r="AD30" s="6"/>
      <c r="AE30" s="6"/>
      <c r="AF30" s="6"/>
      <c r="AG30" s="31"/>
      <c r="AH30" s="31"/>
      <c r="AI30" s="31"/>
      <c r="AJ30" s="31"/>
      <c r="AK30" s="31" t="s">
        <v>84</v>
      </c>
      <c r="AL30" s="30" t="s">
        <v>58</v>
      </c>
      <c r="AM30" s="30"/>
      <c r="AN30" s="29"/>
    </row>
    <row r="31" spans="1:40" x14ac:dyDescent="0.3">
      <c r="A31">
        <v>28</v>
      </c>
      <c r="B31" s="50">
        <f t="shared" si="1"/>
        <v>570.91999999999996</v>
      </c>
      <c r="C31" s="23"/>
      <c r="D31" s="32"/>
      <c r="E31" s="46">
        <f t="shared" si="2"/>
        <v>609.08000000000004</v>
      </c>
      <c r="F31" s="46">
        <f>F30-M30</f>
        <v>360</v>
      </c>
      <c r="G31" s="46">
        <f t="shared" si="7"/>
        <v>1.823150684931468</v>
      </c>
      <c r="H31" s="46">
        <f t="shared" si="7"/>
        <v>150</v>
      </c>
      <c r="I31" s="46">
        <f>I30-P30</f>
        <v>221.74999999999997</v>
      </c>
      <c r="J31" s="46">
        <f t="shared" si="8"/>
        <v>0</v>
      </c>
      <c r="K31" s="46">
        <f t="shared" si="8"/>
        <v>-124.49315068493138</v>
      </c>
      <c r="L31" s="46">
        <f t="shared" si="8"/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>
        <v>95</v>
      </c>
      <c r="S31" s="46">
        <v>0</v>
      </c>
      <c r="T31" s="46" t="s">
        <v>54</v>
      </c>
      <c r="U31" s="46"/>
      <c r="V31" s="46">
        <v>55</v>
      </c>
      <c r="W31" s="46">
        <v>0</v>
      </c>
      <c r="X31" s="46">
        <f t="shared" si="4"/>
        <v>95</v>
      </c>
      <c r="Y31" t="s">
        <v>72</v>
      </c>
      <c r="Z31">
        <v>55</v>
      </c>
      <c r="AA31">
        <v>95</v>
      </c>
      <c r="AG31" s="30"/>
      <c r="AH31" s="30"/>
      <c r="AI31" s="30"/>
      <c r="AJ31" s="30"/>
      <c r="AK31" s="30"/>
      <c r="AL31" s="30" t="s">
        <v>63</v>
      </c>
      <c r="AM31" s="30"/>
      <c r="AN31" s="29"/>
    </row>
    <row r="32" spans="1:40" x14ac:dyDescent="0.3">
      <c r="A32">
        <v>29</v>
      </c>
      <c r="B32" s="50">
        <f t="shared" si="1"/>
        <v>135.92000000000007</v>
      </c>
      <c r="C32" s="23">
        <v>1</v>
      </c>
      <c r="D32" s="36" t="s">
        <v>108</v>
      </c>
      <c r="E32" s="46">
        <f t="shared" si="2"/>
        <v>1044.08</v>
      </c>
      <c r="F32" s="46">
        <f>F31-M31</f>
        <v>360</v>
      </c>
      <c r="G32" s="46">
        <f t="shared" si="7"/>
        <v>1.823150684931468</v>
      </c>
      <c r="H32" s="46">
        <f t="shared" si="7"/>
        <v>150</v>
      </c>
      <c r="I32" s="46">
        <f>I31-P31</f>
        <v>221.74999999999997</v>
      </c>
      <c r="J32" s="47">
        <f>J31-Q31+150</f>
        <v>150</v>
      </c>
      <c r="K32" s="47">
        <f>K31-R31+100</f>
        <v>-119.49315068493138</v>
      </c>
      <c r="L32" s="47">
        <f>L31-S31+280</f>
        <v>280</v>
      </c>
      <c r="M32" s="46">
        <f>(95-R32)*0.73</f>
        <v>229.5799999999999</v>
      </c>
      <c r="N32" s="46">
        <f>G32</f>
        <v>1.823150684931468</v>
      </c>
      <c r="O32" s="46">
        <v>0</v>
      </c>
      <c r="P32" s="46">
        <f>(95-R32)*0.27-N32</f>
        <v>83.090000000000018</v>
      </c>
      <c r="Q32" s="46">
        <v>0</v>
      </c>
      <c r="R32" s="46">
        <f>K32-100</f>
        <v>-219.49315068493138</v>
      </c>
      <c r="S32" s="46">
        <v>0</v>
      </c>
      <c r="T32" s="46" t="s">
        <v>75</v>
      </c>
      <c r="U32" s="46"/>
      <c r="V32" s="46">
        <v>95</v>
      </c>
      <c r="W32" s="46">
        <v>0</v>
      </c>
      <c r="X32" s="46">
        <f t="shared" si="4"/>
        <v>95</v>
      </c>
      <c r="Y32" t="s">
        <v>72</v>
      </c>
      <c r="Z32">
        <v>95</v>
      </c>
      <c r="AA32">
        <v>95</v>
      </c>
      <c r="AG32" s="30"/>
      <c r="AH32" s="30"/>
      <c r="AI32" s="30"/>
      <c r="AJ32" s="30"/>
      <c r="AK32" s="30"/>
      <c r="AL32" s="30" t="s">
        <v>63</v>
      </c>
      <c r="AM32" s="30"/>
      <c r="AN32" s="29"/>
    </row>
    <row r="33" spans="1:40" x14ac:dyDescent="0.3">
      <c r="A33">
        <v>30</v>
      </c>
      <c r="B33" s="50">
        <f t="shared" si="1"/>
        <v>230.91999999999996</v>
      </c>
      <c r="C33" s="23">
        <v>1</v>
      </c>
      <c r="D33" s="32"/>
      <c r="E33" s="46">
        <f t="shared" si="2"/>
        <v>949.08</v>
      </c>
      <c r="F33" s="46">
        <f>F32-M32</f>
        <v>130.4200000000001</v>
      </c>
      <c r="G33" s="46">
        <f t="shared" si="7"/>
        <v>0</v>
      </c>
      <c r="H33" s="46">
        <f t="shared" si="7"/>
        <v>150</v>
      </c>
      <c r="I33" s="46">
        <f t="shared" si="8"/>
        <v>138.65999999999997</v>
      </c>
      <c r="J33" s="47">
        <f>J32-Q32</f>
        <v>150</v>
      </c>
      <c r="K33" s="47">
        <f t="shared" si="8"/>
        <v>100</v>
      </c>
      <c r="L33" s="47">
        <f t="shared" si="8"/>
        <v>280</v>
      </c>
      <c r="M33" s="46">
        <f>0.73*95</f>
        <v>69.349999999999994</v>
      </c>
      <c r="N33" s="46">
        <v>0</v>
      </c>
      <c r="O33" s="46">
        <v>0</v>
      </c>
      <c r="P33" s="46">
        <f>0.27*95</f>
        <v>25.650000000000002</v>
      </c>
      <c r="Q33" s="46">
        <v>0</v>
      </c>
      <c r="R33" s="46">
        <v>0</v>
      </c>
      <c r="S33" s="46">
        <v>0</v>
      </c>
      <c r="T33" s="46" t="s">
        <v>75</v>
      </c>
      <c r="U33" s="46"/>
      <c r="V33" s="46">
        <v>95</v>
      </c>
      <c r="W33" s="46">
        <v>0</v>
      </c>
      <c r="X33" s="46">
        <f t="shared" si="4"/>
        <v>95</v>
      </c>
      <c r="Y33" t="s">
        <v>72</v>
      </c>
      <c r="Z33">
        <v>95</v>
      </c>
      <c r="AA33">
        <v>95</v>
      </c>
      <c r="AG33" s="30"/>
      <c r="AH33" s="30"/>
      <c r="AI33" s="30"/>
      <c r="AJ33" s="30"/>
      <c r="AK33" s="30"/>
      <c r="AL33" s="30" t="s">
        <v>71</v>
      </c>
      <c r="AM33" s="30"/>
      <c r="AN33" s="29"/>
    </row>
    <row r="34" spans="1:40" x14ac:dyDescent="0.3">
      <c r="A34">
        <v>31</v>
      </c>
      <c r="B34" s="50">
        <f t="shared" si="1"/>
        <v>325.91999999999996</v>
      </c>
      <c r="C34" s="23"/>
      <c r="D34" s="32"/>
      <c r="E34" s="46">
        <f t="shared" si="2"/>
        <v>854.08</v>
      </c>
      <c r="F34" s="46">
        <f t="shared" si="9"/>
        <v>61.070000000000107</v>
      </c>
      <c r="G34" s="46">
        <f t="shared" si="7"/>
        <v>0</v>
      </c>
      <c r="H34" s="46">
        <f t="shared" si="7"/>
        <v>150</v>
      </c>
      <c r="I34" s="46">
        <f t="shared" si="8"/>
        <v>113.00999999999996</v>
      </c>
      <c r="J34" s="47">
        <f t="shared" si="8"/>
        <v>150</v>
      </c>
      <c r="K34" s="47">
        <f t="shared" si="8"/>
        <v>100</v>
      </c>
      <c r="L34" s="47">
        <f t="shared" si="8"/>
        <v>280</v>
      </c>
      <c r="M34" s="46">
        <f t="shared" ref="M34:M35" si="10">0.73*95</f>
        <v>69.349999999999994</v>
      </c>
      <c r="N34" s="46">
        <v>0</v>
      </c>
      <c r="O34" s="46">
        <v>0</v>
      </c>
      <c r="P34" s="46">
        <f t="shared" ref="P34:P35" si="11">0.27*95</f>
        <v>25.650000000000002</v>
      </c>
      <c r="Q34" s="46">
        <v>0</v>
      </c>
      <c r="R34" s="46">
        <v>0</v>
      </c>
      <c r="S34" s="46">
        <v>0</v>
      </c>
      <c r="T34" s="46"/>
      <c r="U34" s="46"/>
      <c r="V34" s="46"/>
      <c r="W34" s="46"/>
      <c r="X34" s="46">
        <f t="shared" si="4"/>
        <v>95</v>
      </c>
      <c r="AG34" s="30"/>
      <c r="AH34" s="30"/>
      <c r="AI34" s="30"/>
      <c r="AJ34" s="30"/>
      <c r="AK34" s="30"/>
      <c r="AL34" s="30" t="s">
        <v>71</v>
      </c>
      <c r="AM34" s="30"/>
      <c r="AN34" s="29"/>
    </row>
    <row r="35" spans="1:40" x14ac:dyDescent="0.3">
      <c r="A35">
        <v>32</v>
      </c>
      <c r="B35" s="50">
        <f t="shared" si="1"/>
        <v>420.91999999999996</v>
      </c>
      <c r="C35" s="23"/>
      <c r="D35" s="32"/>
      <c r="E35" s="46">
        <f t="shared" si="2"/>
        <v>759.08</v>
      </c>
      <c r="F35" s="46">
        <f t="shared" si="9"/>
        <v>-8.2799999999998875</v>
      </c>
      <c r="G35" s="46">
        <f t="shared" si="7"/>
        <v>0</v>
      </c>
      <c r="H35" s="46">
        <f t="shared" si="7"/>
        <v>150</v>
      </c>
      <c r="I35" s="46">
        <f t="shared" si="8"/>
        <v>87.359999999999957</v>
      </c>
      <c r="J35" s="47">
        <f t="shared" si="8"/>
        <v>150</v>
      </c>
      <c r="K35" s="47">
        <f t="shared" si="8"/>
        <v>100</v>
      </c>
      <c r="L35" s="47">
        <f t="shared" si="8"/>
        <v>280</v>
      </c>
      <c r="M35" s="46">
        <f t="shared" si="10"/>
        <v>69.349999999999994</v>
      </c>
      <c r="N35" s="46">
        <v>0</v>
      </c>
      <c r="O35" s="46">
        <v>0</v>
      </c>
      <c r="P35" s="46">
        <f t="shared" si="11"/>
        <v>25.650000000000002</v>
      </c>
      <c r="Q35" s="46">
        <v>0</v>
      </c>
      <c r="R35" s="46">
        <v>0</v>
      </c>
      <c r="S35" s="46">
        <v>0</v>
      </c>
      <c r="T35" s="46"/>
      <c r="U35" s="46"/>
      <c r="V35" s="46"/>
      <c r="W35" s="46"/>
      <c r="X35" s="46">
        <f t="shared" si="4"/>
        <v>95</v>
      </c>
      <c r="AG35" s="30"/>
      <c r="AH35" s="30"/>
      <c r="AI35" s="30"/>
      <c r="AJ35" s="30"/>
      <c r="AK35" s="30"/>
      <c r="AL35" s="30" t="s">
        <v>71</v>
      </c>
      <c r="AM35" s="30"/>
      <c r="AN35" s="29"/>
    </row>
    <row r="36" spans="1:40" x14ac:dyDescent="0.3">
      <c r="A36" s="6">
        <v>33</v>
      </c>
      <c r="B36" s="50">
        <f t="shared" si="1"/>
        <v>515.91999999999996</v>
      </c>
      <c r="C36" s="24"/>
      <c r="D36" s="33"/>
      <c r="E36" s="48">
        <f t="shared" si="2"/>
        <v>664.08</v>
      </c>
      <c r="F36" s="48">
        <f t="shared" si="9"/>
        <v>-77.629999999999882</v>
      </c>
      <c r="G36" s="48">
        <f t="shared" si="7"/>
        <v>0</v>
      </c>
      <c r="H36" s="48">
        <f t="shared" si="7"/>
        <v>150</v>
      </c>
      <c r="I36" s="48">
        <f t="shared" si="8"/>
        <v>61.709999999999951</v>
      </c>
      <c r="J36" s="47">
        <f t="shared" si="8"/>
        <v>150</v>
      </c>
      <c r="K36" s="47">
        <f t="shared" si="8"/>
        <v>100</v>
      </c>
      <c r="L36" s="47">
        <f t="shared" si="8"/>
        <v>280</v>
      </c>
      <c r="M36" s="48">
        <v>69.349999999999994</v>
      </c>
      <c r="N36" s="48">
        <v>0</v>
      </c>
      <c r="O36" s="48">
        <v>0</v>
      </c>
      <c r="P36" s="48">
        <v>25.65</v>
      </c>
      <c r="Q36" s="48">
        <v>0</v>
      </c>
      <c r="R36" s="48">
        <v>0</v>
      </c>
      <c r="S36" s="48">
        <v>0</v>
      </c>
      <c r="T36" s="48"/>
      <c r="U36" s="48"/>
      <c r="V36" s="48"/>
      <c r="W36" s="48"/>
      <c r="X36" s="48">
        <f t="shared" si="4"/>
        <v>95</v>
      </c>
      <c r="Y36" s="6"/>
      <c r="Z36" s="6"/>
      <c r="AA36" s="6"/>
      <c r="AB36" s="6"/>
      <c r="AC36" s="6"/>
      <c r="AD36" s="6"/>
      <c r="AE36" s="6"/>
      <c r="AF36" s="6"/>
      <c r="AG36" s="31"/>
      <c r="AH36" s="31"/>
      <c r="AI36" s="31"/>
      <c r="AJ36" s="31"/>
      <c r="AK36" s="31"/>
      <c r="AL36" s="31" t="s">
        <v>85</v>
      </c>
      <c r="AM36" s="30"/>
      <c r="AN36" s="29"/>
    </row>
    <row r="37" spans="1:40" x14ac:dyDescent="0.3">
      <c r="A37">
        <v>34</v>
      </c>
      <c r="B37" s="50">
        <f t="shared" si="1"/>
        <v>610.91999999999996</v>
      </c>
      <c r="C37" s="23"/>
      <c r="D37" s="32"/>
      <c r="E37" s="46">
        <f t="shared" si="2"/>
        <v>569.08000000000004</v>
      </c>
      <c r="F37" s="46">
        <f t="shared" si="9"/>
        <v>-146.97999999999988</v>
      </c>
      <c r="G37" s="46">
        <f t="shared" si="7"/>
        <v>0</v>
      </c>
      <c r="H37" s="46">
        <f t="shared" si="7"/>
        <v>150</v>
      </c>
      <c r="I37" s="46">
        <f t="shared" si="8"/>
        <v>36.059999999999953</v>
      </c>
      <c r="J37" s="46">
        <f t="shared" si="8"/>
        <v>150</v>
      </c>
      <c r="K37" s="46">
        <f t="shared" si="8"/>
        <v>100</v>
      </c>
      <c r="L37" s="46">
        <f t="shared" si="8"/>
        <v>280</v>
      </c>
      <c r="M37" s="46">
        <f>F37</f>
        <v>-146.97999999999988</v>
      </c>
      <c r="N37" s="46">
        <v>0</v>
      </c>
      <c r="O37" s="46">
        <v>0</v>
      </c>
      <c r="P37" s="46">
        <f>(M37/73)*27</f>
        <v>-54.362465753424615</v>
      </c>
      <c r="Q37" s="46">
        <v>0</v>
      </c>
      <c r="R37" s="46">
        <f>95-M37-P37</f>
        <v>296.34246575342451</v>
      </c>
      <c r="S37" s="46">
        <v>0</v>
      </c>
      <c r="T37" s="46"/>
      <c r="U37" s="46"/>
      <c r="V37" s="46"/>
      <c r="W37" s="46"/>
      <c r="X37" s="46">
        <f>SUM(M37:S37)</f>
        <v>95</v>
      </c>
      <c r="AG37" s="30"/>
      <c r="AH37" s="30"/>
      <c r="AI37" s="30"/>
      <c r="AJ37" s="30"/>
      <c r="AK37" s="30"/>
      <c r="AL37" s="30"/>
      <c r="AM37" s="30"/>
      <c r="AN37" s="29"/>
    </row>
    <row r="38" spans="1:40" x14ac:dyDescent="0.3">
      <c r="A38">
        <v>35</v>
      </c>
      <c r="B38" s="50">
        <f t="shared" si="1"/>
        <v>705.91999999999985</v>
      </c>
      <c r="C38" s="23"/>
      <c r="D38" s="32"/>
      <c r="E38" s="46">
        <f t="shared" si="2"/>
        <v>474.0800000000001</v>
      </c>
      <c r="F38" s="46">
        <f t="shared" si="9"/>
        <v>0</v>
      </c>
      <c r="G38" s="46">
        <f t="shared" si="7"/>
        <v>0</v>
      </c>
      <c r="H38" s="46">
        <f t="shared" si="7"/>
        <v>150</v>
      </c>
      <c r="I38" s="46">
        <f t="shared" si="8"/>
        <v>90.422465753424575</v>
      </c>
      <c r="J38" s="46">
        <f>J37-Q37</f>
        <v>150</v>
      </c>
      <c r="K38" s="46">
        <f t="shared" si="8"/>
        <v>-196.34246575342451</v>
      </c>
      <c r="L38" s="46">
        <f>L37-S37</f>
        <v>280</v>
      </c>
      <c r="M38" s="46">
        <v>0</v>
      </c>
      <c r="N38" s="46">
        <v>0</v>
      </c>
      <c r="O38" s="46">
        <v>0</v>
      </c>
      <c r="P38" s="46">
        <v>0</v>
      </c>
      <c r="Q38" s="46">
        <v>0</v>
      </c>
      <c r="R38" s="46">
        <f>K38</f>
        <v>-196.34246575342451</v>
      </c>
      <c r="S38" s="46">
        <f>95-R38</f>
        <v>291.34246575342451</v>
      </c>
      <c r="T38" s="46"/>
      <c r="U38" s="46"/>
      <c r="V38" s="46"/>
      <c r="W38" s="46"/>
      <c r="X38" s="46">
        <f t="shared" si="4"/>
        <v>95</v>
      </c>
    </row>
    <row r="39" spans="1:40" x14ac:dyDescent="0.3">
      <c r="A39">
        <v>36</v>
      </c>
      <c r="B39" s="50">
        <f t="shared" si="1"/>
        <v>800.91999999999985</v>
      </c>
      <c r="C39" s="23"/>
      <c r="D39" s="32"/>
      <c r="E39" s="46">
        <f t="shared" si="2"/>
        <v>379.0800000000001</v>
      </c>
      <c r="F39" s="46">
        <f t="shared" si="9"/>
        <v>0</v>
      </c>
      <c r="G39" s="46">
        <f t="shared" si="7"/>
        <v>0</v>
      </c>
      <c r="H39" s="46">
        <f t="shared" si="7"/>
        <v>150</v>
      </c>
      <c r="I39" s="46">
        <f t="shared" si="8"/>
        <v>90.422465753424575</v>
      </c>
      <c r="J39" s="46">
        <f t="shared" si="8"/>
        <v>150</v>
      </c>
      <c r="K39" s="46">
        <f t="shared" si="8"/>
        <v>0</v>
      </c>
      <c r="L39" s="46">
        <f t="shared" si="8"/>
        <v>-11.342465753424506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95</v>
      </c>
      <c r="T39" s="46"/>
      <c r="U39" s="46"/>
      <c r="V39" s="46"/>
      <c r="W39" s="46"/>
      <c r="X39" s="46">
        <f t="shared" si="4"/>
        <v>95</v>
      </c>
    </row>
    <row r="40" spans="1:40" x14ac:dyDescent="0.3">
      <c r="A40">
        <v>37</v>
      </c>
      <c r="B40" s="50">
        <f t="shared" si="1"/>
        <v>895.91999999999985</v>
      </c>
      <c r="C40" s="23"/>
      <c r="D40" s="32"/>
      <c r="E40" s="46">
        <f t="shared" si="2"/>
        <v>284.0800000000001</v>
      </c>
      <c r="F40" s="46">
        <f t="shared" si="9"/>
        <v>0</v>
      </c>
      <c r="G40" s="46">
        <f t="shared" si="7"/>
        <v>0</v>
      </c>
      <c r="H40" s="46">
        <f t="shared" si="7"/>
        <v>150</v>
      </c>
      <c r="I40" s="46">
        <f t="shared" si="8"/>
        <v>90.422465753424575</v>
      </c>
      <c r="J40" s="46">
        <f t="shared" si="8"/>
        <v>150</v>
      </c>
      <c r="K40" s="46">
        <f t="shared" si="8"/>
        <v>0</v>
      </c>
      <c r="L40" s="46">
        <f t="shared" si="8"/>
        <v>-106.34246575342451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95</v>
      </c>
      <c r="T40" s="46"/>
      <c r="U40" s="46"/>
      <c r="V40" s="46"/>
      <c r="W40" s="46"/>
      <c r="X40" s="46">
        <f t="shared" si="4"/>
        <v>95</v>
      </c>
    </row>
    <row r="41" spans="1:40" x14ac:dyDescent="0.3">
      <c r="A41">
        <v>38</v>
      </c>
      <c r="B41" s="50">
        <f t="shared" si="1"/>
        <v>990.91999999999985</v>
      </c>
      <c r="C41" s="23"/>
      <c r="D41" s="32"/>
      <c r="E41" s="46">
        <f t="shared" si="2"/>
        <v>189.0800000000001</v>
      </c>
      <c r="F41" s="46">
        <f t="shared" si="9"/>
        <v>0</v>
      </c>
      <c r="G41" s="46">
        <f t="shared" si="7"/>
        <v>0</v>
      </c>
      <c r="H41" s="46">
        <f t="shared" si="7"/>
        <v>150</v>
      </c>
      <c r="I41" s="46">
        <f t="shared" si="8"/>
        <v>90.422465753424575</v>
      </c>
      <c r="J41" s="46">
        <f t="shared" si="8"/>
        <v>150</v>
      </c>
      <c r="K41" s="46">
        <f t="shared" si="8"/>
        <v>0</v>
      </c>
      <c r="L41" s="46">
        <f t="shared" si="8"/>
        <v>-201.34246575342451</v>
      </c>
      <c r="M41" s="46">
        <v>0</v>
      </c>
      <c r="N41" s="46">
        <v>0</v>
      </c>
      <c r="O41" s="46">
        <f>(95-S41)*0.6</f>
        <v>177.8054794520547</v>
      </c>
      <c r="P41" s="46">
        <v>0</v>
      </c>
      <c r="Q41" s="46">
        <f>(95-S41)*0.4</f>
        <v>118.53698630136981</v>
      </c>
      <c r="R41" s="46">
        <v>0</v>
      </c>
      <c r="S41" s="46">
        <f>L41</f>
        <v>-201.34246575342451</v>
      </c>
      <c r="T41" s="46"/>
      <c r="U41" s="46"/>
      <c r="V41" s="46"/>
      <c r="W41" s="46"/>
      <c r="X41" s="46">
        <f t="shared" si="4"/>
        <v>95</v>
      </c>
    </row>
    <row r="42" spans="1:40" x14ac:dyDescent="0.3">
      <c r="A42">
        <v>39</v>
      </c>
      <c r="B42" s="50">
        <f t="shared" si="1"/>
        <v>1085.9199999999998</v>
      </c>
      <c r="C42" s="23"/>
      <c r="D42" s="32"/>
      <c r="E42" s="46">
        <f t="shared" si="2"/>
        <v>94.080000000000069</v>
      </c>
      <c r="F42" s="46">
        <f t="shared" si="9"/>
        <v>0</v>
      </c>
      <c r="G42" s="46">
        <f t="shared" si="9"/>
        <v>0</v>
      </c>
      <c r="H42" s="46">
        <f t="shared" si="9"/>
        <v>-27.805479452054698</v>
      </c>
      <c r="I42" s="46">
        <f t="shared" si="9"/>
        <v>90.422465753424575</v>
      </c>
      <c r="J42" s="46">
        <f t="shared" si="9"/>
        <v>31.463013698630192</v>
      </c>
      <c r="K42" s="46">
        <f t="shared" si="9"/>
        <v>0</v>
      </c>
      <c r="L42" s="46">
        <f t="shared" si="9"/>
        <v>0</v>
      </c>
      <c r="M42" s="46">
        <v>0</v>
      </c>
      <c r="N42" s="46">
        <v>0</v>
      </c>
      <c r="O42" s="46">
        <f>96*0.6</f>
        <v>57.599999999999994</v>
      </c>
      <c r="P42" s="46">
        <v>0</v>
      </c>
      <c r="Q42" s="46">
        <f>96*0.4</f>
        <v>38.400000000000006</v>
      </c>
      <c r="R42" s="46">
        <v>0</v>
      </c>
      <c r="S42" s="46">
        <v>0</v>
      </c>
      <c r="T42" s="46"/>
      <c r="U42" s="46"/>
      <c r="V42" s="46"/>
      <c r="W42" s="46"/>
      <c r="X42" s="46">
        <f t="shared" si="4"/>
        <v>96</v>
      </c>
    </row>
    <row r="43" spans="1:40" x14ac:dyDescent="0.3">
      <c r="A43">
        <v>40</v>
      </c>
      <c r="B43" s="50">
        <f t="shared" si="1"/>
        <v>1181.9199999999998</v>
      </c>
      <c r="C43" s="23"/>
      <c r="D43" s="32"/>
      <c r="E43" s="46">
        <f t="shared" si="2"/>
        <v>-1.9199999999999307</v>
      </c>
      <c r="F43" s="46">
        <f t="shared" si="9"/>
        <v>0</v>
      </c>
      <c r="G43" s="46">
        <f t="shared" si="9"/>
        <v>0</v>
      </c>
      <c r="H43" s="46">
        <f t="shared" si="9"/>
        <v>-85.405479452054692</v>
      </c>
      <c r="I43" s="46">
        <f t="shared" si="9"/>
        <v>90.422465753424575</v>
      </c>
      <c r="J43" s="46">
        <f t="shared" si="9"/>
        <v>-6.9369863013698136</v>
      </c>
      <c r="K43" s="46">
        <f t="shared" si="9"/>
        <v>0</v>
      </c>
      <c r="L43" s="46">
        <f t="shared" si="9"/>
        <v>0</v>
      </c>
      <c r="M43" s="46">
        <v>0</v>
      </c>
      <c r="N43" s="46">
        <v>0</v>
      </c>
      <c r="O43" s="46">
        <f>96*0.6</f>
        <v>57.599999999999994</v>
      </c>
      <c r="P43" s="46">
        <v>0</v>
      </c>
      <c r="Q43" s="46">
        <f>96*0.4</f>
        <v>38.400000000000006</v>
      </c>
      <c r="R43" s="46">
        <v>0</v>
      </c>
      <c r="S43" s="46">
        <v>0</v>
      </c>
      <c r="T43" s="46"/>
      <c r="U43" s="46"/>
      <c r="V43" s="46"/>
      <c r="W43" s="46"/>
      <c r="X43" s="46">
        <f t="shared" si="4"/>
        <v>96</v>
      </c>
    </row>
    <row r="44" spans="1:40" x14ac:dyDescent="0.3">
      <c r="A44">
        <v>41</v>
      </c>
      <c r="B44" s="50">
        <f t="shared" si="1"/>
        <v>1277.9199999999998</v>
      </c>
      <c r="C44" s="23"/>
      <c r="D44" s="32"/>
      <c r="E44" s="46">
        <f>SUM(F44:L44)</f>
        <v>-97.919999999999931</v>
      </c>
      <c r="F44" s="46">
        <f>F43-M43</f>
        <v>0</v>
      </c>
      <c r="G44" s="46">
        <f t="shared" ref="G44:H44" si="12">G43-N43</f>
        <v>0</v>
      </c>
      <c r="H44" s="46">
        <f t="shared" si="12"/>
        <v>-143.00547945205469</v>
      </c>
      <c r="I44" s="46">
        <f>I43-P43</f>
        <v>90.422465753424575</v>
      </c>
      <c r="J44" s="46">
        <f>J43-Q43</f>
        <v>-45.336986301369819</v>
      </c>
      <c r="K44" s="46">
        <f t="shared" ref="K44" si="13">K43-R43</f>
        <v>0</v>
      </c>
      <c r="L44" s="46">
        <f>L43-S43</f>
        <v>0</v>
      </c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</row>
    <row r="45" spans="1:40" x14ac:dyDescent="0.3">
      <c r="S45" s="40" t="s">
        <v>86</v>
      </c>
      <c r="X45" s="4">
        <f>AVERAGE(X4:X33)</f>
        <v>95.197333333333333</v>
      </c>
      <c r="AG45" t="s">
        <v>87</v>
      </c>
    </row>
    <row r="46" spans="1:40" x14ac:dyDescent="0.3">
      <c r="C46" s="34"/>
      <c r="S46" s="40" t="s">
        <v>88</v>
      </c>
      <c r="X46" s="4">
        <f>AVERAGE(X4:X43)</f>
        <v>95.198000000000008</v>
      </c>
      <c r="AG46" t="s">
        <v>87</v>
      </c>
    </row>
    <row r="47" spans="1:40" x14ac:dyDescent="0.3">
      <c r="S47" s="40"/>
    </row>
    <row r="48" spans="1:40" x14ac:dyDescent="0.3">
      <c r="S48" s="40" t="s">
        <v>89</v>
      </c>
      <c r="X48" s="15">
        <f>SUM(X4:X33)</f>
        <v>2855.92</v>
      </c>
      <c r="AG48" t="s">
        <v>90</v>
      </c>
    </row>
    <row r="49" spans="19:34" x14ac:dyDescent="0.3">
      <c r="S49" s="40" t="s">
        <v>91</v>
      </c>
      <c r="X49">
        <f>E3</f>
        <v>1050</v>
      </c>
      <c r="AG49" t="s">
        <v>90</v>
      </c>
    </row>
    <row r="50" spans="19:34" x14ac:dyDescent="0.3">
      <c r="S50" s="40" t="s">
        <v>92</v>
      </c>
      <c r="X50">
        <v>2910</v>
      </c>
      <c r="AG50" t="s">
        <v>90</v>
      </c>
    </row>
    <row r="51" spans="19:34" x14ac:dyDescent="0.3">
      <c r="S51" s="40" t="s">
        <v>93</v>
      </c>
      <c r="X51" s="4">
        <f>E44</f>
        <v>-97.919999999999931</v>
      </c>
      <c r="AG51" t="s">
        <v>90</v>
      </c>
      <c r="AH51" s="28">
        <f>X49+X50</f>
        <v>3960</v>
      </c>
    </row>
    <row r="52" spans="19:34" x14ac:dyDescent="0.3">
      <c r="S52" s="40"/>
      <c r="AH52" s="38">
        <f>AH51-X48</f>
        <v>1104.08</v>
      </c>
    </row>
    <row r="53" spans="19:34" x14ac:dyDescent="0.3">
      <c r="S53" s="40" t="s">
        <v>94</v>
      </c>
      <c r="X53" s="15">
        <f>SUM(C3:C44)</f>
        <v>7</v>
      </c>
      <c r="AG53" t="s">
        <v>95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496A-C346-4845-940E-48356AC10A4D}">
  <dimension ref="A1:AM55"/>
  <sheetViews>
    <sheetView zoomScaleNormal="100" workbookViewId="0">
      <pane xSplit="1" ySplit="2" topLeftCell="E28" activePane="bottomRight" state="frozen"/>
      <selection pane="topRight" activeCell="B1" sqref="B1"/>
      <selection pane="bottomLeft" activeCell="A2" sqref="A2"/>
      <selection pane="bottomRight" activeCell="AF41" sqref="AF41"/>
    </sheetView>
  </sheetViews>
  <sheetFormatPr defaultRowHeight="14.4" x14ac:dyDescent="0.3"/>
  <cols>
    <col min="1" max="1" width="7.33203125" customWidth="1"/>
    <col min="2" max="2" width="10.88671875" customWidth="1"/>
    <col min="3" max="3" width="12.33203125" customWidth="1"/>
    <col min="4" max="10" width="10.6640625" customWidth="1"/>
    <col min="11" max="11" width="10.44140625" customWidth="1"/>
    <col min="12" max="17" width="7.5546875" customWidth="1"/>
    <col min="18" max="18" width="14.33203125" hidden="1" customWidth="1"/>
    <col min="19" max="19" width="16.33203125" hidden="1" customWidth="1"/>
    <col min="20" max="20" width="12.6640625" hidden="1" customWidth="1"/>
    <col min="21" max="21" width="14.88671875" hidden="1" customWidth="1"/>
    <col min="22" max="22" width="12" customWidth="1"/>
    <col min="23" max="23" width="12.88671875" customWidth="1"/>
    <col min="24" max="26" width="15.6640625" hidden="1" customWidth="1"/>
    <col min="27" max="27" width="8.6640625" hidden="1" customWidth="1"/>
    <col min="28" max="31" width="9.109375" hidden="1" customWidth="1"/>
    <col min="32" max="33" width="16.5546875" style="28" customWidth="1"/>
    <col min="34" max="34" width="13.44140625" style="28" customWidth="1"/>
    <col min="35" max="35" width="13.88671875" style="28" customWidth="1"/>
    <col min="36" max="36" width="16.5546875" style="28" customWidth="1"/>
    <col min="37" max="37" width="23.88671875" style="28" customWidth="1"/>
    <col min="38" max="38" width="16.5546875" style="28" customWidth="1"/>
  </cols>
  <sheetData>
    <row r="1" spans="1:39" x14ac:dyDescent="0.3">
      <c r="B1" t="s">
        <v>8</v>
      </c>
      <c r="C1">
        <v>1180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39" ht="28.8" x14ac:dyDescent="0.3">
      <c r="A2" s="66" t="s">
        <v>16</v>
      </c>
      <c r="B2" s="67" t="s">
        <v>17</v>
      </c>
      <c r="C2" s="67" t="s">
        <v>18</v>
      </c>
      <c r="D2" s="67" t="s">
        <v>19</v>
      </c>
      <c r="E2" s="67" t="s">
        <v>20</v>
      </c>
      <c r="F2" s="67" t="s">
        <v>21</v>
      </c>
      <c r="G2" s="67" t="s">
        <v>22</v>
      </c>
      <c r="H2" s="67" t="s">
        <v>23</v>
      </c>
      <c r="I2" s="67" t="s">
        <v>24</v>
      </c>
      <c r="J2" s="67" t="s">
        <v>25</v>
      </c>
      <c r="K2" s="67" t="s">
        <v>26</v>
      </c>
      <c r="L2" s="67" t="s">
        <v>27</v>
      </c>
      <c r="M2" s="67" t="s">
        <v>28</v>
      </c>
      <c r="N2" s="67" t="s">
        <v>29</v>
      </c>
      <c r="O2" s="67" t="s">
        <v>30</v>
      </c>
      <c r="P2" s="67" t="s">
        <v>31</v>
      </c>
      <c r="Q2" s="67" t="s">
        <v>32</v>
      </c>
      <c r="R2" s="67" t="s">
        <v>33</v>
      </c>
      <c r="S2" s="67" t="s">
        <v>34</v>
      </c>
      <c r="T2" s="67" t="s">
        <v>35</v>
      </c>
      <c r="U2" s="67" t="s">
        <v>36</v>
      </c>
      <c r="V2" s="67" t="s">
        <v>37</v>
      </c>
      <c r="W2" s="7" t="s">
        <v>209</v>
      </c>
      <c r="X2" s="66" t="s">
        <v>38</v>
      </c>
      <c r="Y2" s="66" t="s">
        <v>39</v>
      </c>
      <c r="Z2" s="66" t="s">
        <v>40</v>
      </c>
      <c r="AA2" s="68" t="s">
        <v>41</v>
      </c>
      <c r="AB2" s="68" t="s">
        <v>42</v>
      </c>
      <c r="AC2" s="68" t="s">
        <v>43</v>
      </c>
      <c r="AD2" s="68" t="s">
        <v>44</v>
      </c>
      <c r="AE2" s="68" t="s">
        <v>45</v>
      </c>
      <c r="AF2" s="67" t="s">
        <v>46</v>
      </c>
      <c r="AG2" s="67" t="s">
        <v>47</v>
      </c>
      <c r="AH2" s="67" t="s">
        <v>48</v>
      </c>
      <c r="AI2" s="67" t="s">
        <v>49</v>
      </c>
      <c r="AJ2" s="67" t="s">
        <v>50</v>
      </c>
      <c r="AK2" s="66" t="s">
        <v>51</v>
      </c>
      <c r="AL2" s="66" t="s">
        <v>52</v>
      </c>
    </row>
    <row r="3" spans="1:39" x14ac:dyDescent="0.3">
      <c r="A3" s="69">
        <v>0</v>
      </c>
      <c r="B3" s="50">
        <f t="shared" ref="B3:B44" si="0">1180-C3</f>
        <v>130</v>
      </c>
      <c r="C3" s="70">
        <f t="shared" ref="C3:C44" si="1">SUM(D3:J3)</f>
        <v>1050</v>
      </c>
      <c r="D3" s="70">
        <v>350</v>
      </c>
      <c r="E3" s="70">
        <v>0</v>
      </c>
      <c r="F3" s="70">
        <v>150</v>
      </c>
      <c r="G3" s="70">
        <v>150</v>
      </c>
      <c r="H3" s="70">
        <v>100</v>
      </c>
      <c r="I3" s="70">
        <v>0</v>
      </c>
      <c r="J3" s="70">
        <v>300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0">
        <v>0</v>
      </c>
      <c r="Q3" s="70">
        <v>0</v>
      </c>
      <c r="R3" s="70"/>
      <c r="S3" s="70"/>
      <c r="T3" s="70"/>
      <c r="U3" s="70"/>
      <c r="V3" s="70">
        <v>0</v>
      </c>
      <c r="W3" s="78"/>
      <c r="X3" s="71"/>
      <c r="Y3" s="71"/>
      <c r="Z3" s="71"/>
      <c r="AA3" s="71"/>
      <c r="AB3" s="71"/>
      <c r="AC3" s="71"/>
      <c r="AD3" s="71"/>
      <c r="AE3" s="71"/>
      <c r="AF3" s="72"/>
      <c r="AG3" s="72"/>
      <c r="AH3" s="72"/>
      <c r="AI3" s="72"/>
      <c r="AJ3" s="72"/>
      <c r="AK3" s="72"/>
      <c r="AL3" s="72"/>
      <c r="AM3" s="29"/>
    </row>
    <row r="4" spans="1:39" ht="13.95" customHeight="1" x14ac:dyDescent="0.3">
      <c r="A4">
        <v>1</v>
      </c>
      <c r="B4" s="50">
        <f t="shared" si="0"/>
        <v>225</v>
      </c>
      <c r="C4" s="46">
        <f t="shared" si="1"/>
        <v>955</v>
      </c>
      <c r="D4" s="46">
        <f t="shared" ref="D4:J8" si="2">D3-K4</f>
        <v>280.64999999999998</v>
      </c>
      <c r="E4" s="46">
        <f t="shared" si="2"/>
        <v>0</v>
      </c>
      <c r="F4" s="46">
        <f t="shared" si="2"/>
        <v>150</v>
      </c>
      <c r="G4" s="46">
        <f t="shared" si="2"/>
        <v>124.35</v>
      </c>
      <c r="H4" s="46">
        <f t="shared" si="2"/>
        <v>100</v>
      </c>
      <c r="I4" s="46">
        <f t="shared" si="2"/>
        <v>0</v>
      </c>
      <c r="J4" s="46">
        <f t="shared" si="2"/>
        <v>300</v>
      </c>
      <c r="K4" s="46">
        <f>95*0.73</f>
        <v>69.349999999999994</v>
      </c>
      <c r="L4" s="46">
        <v>0</v>
      </c>
      <c r="M4" s="46">
        <v>0</v>
      </c>
      <c r="N4" s="46">
        <f>95*0.27</f>
        <v>25.650000000000002</v>
      </c>
      <c r="O4" s="46">
        <v>0</v>
      </c>
      <c r="P4" s="46">
        <v>0</v>
      </c>
      <c r="Q4" s="46">
        <v>0</v>
      </c>
      <c r="R4" s="46" t="s">
        <v>53</v>
      </c>
      <c r="S4" s="46" t="s">
        <v>54</v>
      </c>
      <c r="T4" s="46">
        <v>57.599999999999987</v>
      </c>
      <c r="U4" s="46">
        <v>38.4</v>
      </c>
      <c r="V4" s="63">
        <f t="shared" ref="V4:V43" si="3">SUM(K4:Q4)</f>
        <v>95</v>
      </c>
      <c r="W4" s="106">
        <f>Summary!$C$20*K4+Summary!$C$21*L4+Summary!$C$22*M4+Summary!$C$23*N4+Summary!$C$24*O4+Summary!$C$25*P4+Summary!$C$26*Q4</f>
        <v>1592.7035000000001</v>
      </c>
      <c r="X4" t="s">
        <v>55</v>
      </c>
      <c r="Y4">
        <v>96</v>
      </c>
      <c r="Z4">
        <v>96</v>
      </c>
      <c r="AF4" s="30" t="s">
        <v>56</v>
      </c>
      <c r="AG4" s="72"/>
      <c r="AH4" s="72"/>
      <c r="AI4" s="72"/>
      <c r="AJ4" s="72"/>
      <c r="AK4" s="72"/>
      <c r="AL4" s="30"/>
      <c r="AM4" s="29"/>
    </row>
    <row r="5" spans="1:39" x14ac:dyDescent="0.3">
      <c r="A5">
        <v>2</v>
      </c>
      <c r="B5" s="50">
        <f t="shared" si="0"/>
        <v>320</v>
      </c>
      <c r="C5" s="46">
        <f t="shared" si="1"/>
        <v>860</v>
      </c>
      <c r="D5" s="46">
        <f t="shared" si="2"/>
        <v>211.29999999999998</v>
      </c>
      <c r="E5" s="46">
        <f t="shared" si="2"/>
        <v>0</v>
      </c>
      <c r="F5" s="46">
        <f t="shared" si="2"/>
        <v>150</v>
      </c>
      <c r="G5" s="46">
        <f t="shared" si="2"/>
        <v>98.699999999999989</v>
      </c>
      <c r="H5" s="46">
        <f t="shared" si="2"/>
        <v>100</v>
      </c>
      <c r="I5" s="46">
        <f t="shared" si="2"/>
        <v>0</v>
      </c>
      <c r="J5" s="46">
        <f t="shared" si="2"/>
        <v>300</v>
      </c>
      <c r="K5" s="46">
        <f>95*0.73</f>
        <v>69.349999999999994</v>
      </c>
      <c r="L5" s="46">
        <v>0</v>
      </c>
      <c r="M5" s="46">
        <v>0</v>
      </c>
      <c r="N5" s="46">
        <f>95*0.27</f>
        <v>25.650000000000002</v>
      </c>
      <c r="O5" s="46">
        <v>0</v>
      </c>
      <c r="P5" s="46">
        <v>0</v>
      </c>
      <c r="Q5" s="46">
        <v>0</v>
      </c>
      <c r="R5" s="46" t="s">
        <v>53</v>
      </c>
      <c r="S5" s="46" t="s">
        <v>54</v>
      </c>
      <c r="T5" s="46">
        <v>57.599999999999987</v>
      </c>
      <c r="U5" s="46">
        <v>38.4</v>
      </c>
      <c r="V5" s="63">
        <f t="shared" si="3"/>
        <v>95</v>
      </c>
      <c r="W5" s="106">
        <f>Summary!$C$20*K5+Summary!$C$21*L5+Summary!$C$22*M5+Summary!$C$23*N5+Summary!$C$24*O5+Summary!$C$25*P5+Summary!$C$26*Q5</f>
        <v>1592.7035000000001</v>
      </c>
      <c r="X5" t="s">
        <v>55</v>
      </c>
      <c r="Y5">
        <v>96</v>
      </c>
      <c r="Z5">
        <v>96</v>
      </c>
      <c r="AF5" s="30" t="s">
        <v>57</v>
      </c>
      <c r="AG5" s="72"/>
      <c r="AH5" s="72"/>
      <c r="AI5" s="72"/>
      <c r="AJ5" s="72"/>
      <c r="AK5" s="72"/>
      <c r="AL5" s="30"/>
      <c r="AM5" s="29"/>
    </row>
    <row r="6" spans="1:39" s="6" customFormat="1" x14ac:dyDescent="0.3">
      <c r="A6" s="6">
        <v>3</v>
      </c>
      <c r="B6" s="77">
        <f t="shared" si="0"/>
        <v>320</v>
      </c>
      <c r="C6" s="48">
        <f>SUM(D6:J6)</f>
        <v>860</v>
      </c>
      <c r="D6" s="48">
        <f t="shared" si="2"/>
        <v>211.29999999999998</v>
      </c>
      <c r="E6" s="48">
        <f t="shared" si="2"/>
        <v>0</v>
      </c>
      <c r="F6" s="48">
        <f t="shared" si="2"/>
        <v>150</v>
      </c>
      <c r="G6" s="48">
        <f t="shared" si="2"/>
        <v>98.699999999999989</v>
      </c>
      <c r="H6" s="48">
        <f t="shared" si="2"/>
        <v>100</v>
      </c>
      <c r="I6" s="48">
        <f t="shared" si="2"/>
        <v>0</v>
      </c>
      <c r="J6" s="48">
        <f t="shared" si="2"/>
        <v>300</v>
      </c>
      <c r="K6" s="48"/>
      <c r="L6" s="48"/>
      <c r="M6" s="48"/>
      <c r="N6" s="48"/>
      <c r="O6" s="48"/>
      <c r="P6" s="48"/>
      <c r="Q6" s="48"/>
      <c r="R6" s="48" t="s">
        <v>53</v>
      </c>
      <c r="S6" s="48" t="s">
        <v>54</v>
      </c>
      <c r="T6" s="48">
        <v>34.799999999999997</v>
      </c>
      <c r="U6" s="48">
        <v>23.2</v>
      </c>
      <c r="V6" s="92">
        <f t="shared" si="3"/>
        <v>0</v>
      </c>
      <c r="W6" s="106">
        <f>Summary!$C$20*K6+Summary!$C$21*L6+Summary!$C$22*M6+Summary!$C$23*N6+Summary!$C$24*O6+Summary!$C$25*P6+Summary!$C$26*Q6</f>
        <v>0</v>
      </c>
      <c r="X6" s="6" t="s">
        <v>55</v>
      </c>
      <c r="Y6" s="6">
        <v>58.000000000000007</v>
      </c>
      <c r="Z6" s="6">
        <v>96</v>
      </c>
      <c r="AF6" s="31" t="s">
        <v>58</v>
      </c>
      <c r="AG6" s="93"/>
      <c r="AH6" s="93"/>
      <c r="AI6" s="93"/>
      <c r="AJ6" s="93"/>
      <c r="AK6" s="93"/>
      <c r="AL6" s="31"/>
      <c r="AM6" s="94"/>
    </row>
    <row r="7" spans="1:39" x14ac:dyDescent="0.3">
      <c r="A7">
        <v>4</v>
      </c>
      <c r="B7" s="50">
        <f t="shared" si="0"/>
        <v>420</v>
      </c>
      <c r="C7" s="46">
        <f t="shared" si="1"/>
        <v>760</v>
      </c>
      <c r="D7" s="46">
        <f t="shared" si="2"/>
        <v>211.29999999999998</v>
      </c>
      <c r="E7" s="46">
        <f t="shared" si="2"/>
        <v>0</v>
      </c>
      <c r="F7" s="46">
        <f t="shared" si="2"/>
        <v>90</v>
      </c>
      <c r="G7" s="46">
        <f t="shared" si="2"/>
        <v>98.699999999999989</v>
      </c>
      <c r="H7" s="46">
        <f t="shared" si="2"/>
        <v>60</v>
      </c>
      <c r="I7" s="46">
        <f t="shared" si="2"/>
        <v>0</v>
      </c>
      <c r="J7" s="46">
        <f t="shared" si="2"/>
        <v>300</v>
      </c>
      <c r="K7" s="46"/>
      <c r="L7" s="46"/>
      <c r="M7" s="46">
        <v>60</v>
      </c>
      <c r="N7" s="46"/>
      <c r="O7" s="46">
        <v>40</v>
      </c>
      <c r="P7" s="46"/>
      <c r="Q7" s="46"/>
      <c r="R7" s="46" t="s">
        <v>59</v>
      </c>
      <c r="S7" s="46" t="s">
        <v>60</v>
      </c>
      <c r="T7" s="46">
        <v>25.65</v>
      </c>
      <c r="U7" s="46">
        <v>69.349999999999994</v>
      </c>
      <c r="V7" s="63">
        <f t="shared" si="3"/>
        <v>100</v>
      </c>
      <c r="W7" s="106">
        <f>Summary!$C$20*K7+Summary!$C$21*L7+Summary!$C$22*M7+Summary!$C$23*N7+Summary!$C$24*O7+Summary!$C$25*P7+Summary!$C$26*Q7</f>
        <v>1390.2</v>
      </c>
      <c r="X7" t="s">
        <v>61</v>
      </c>
      <c r="Y7">
        <v>95</v>
      </c>
      <c r="Z7">
        <v>95</v>
      </c>
      <c r="AF7" s="30" t="s">
        <v>58</v>
      </c>
      <c r="AG7" s="72"/>
      <c r="AH7" s="72"/>
      <c r="AI7" s="72"/>
      <c r="AJ7" s="72"/>
      <c r="AK7" s="72"/>
      <c r="AL7" s="30"/>
      <c r="AM7" s="29"/>
    </row>
    <row r="8" spans="1:39" ht="13.95" customHeight="1" x14ac:dyDescent="0.3">
      <c r="A8">
        <v>5</v>
      </c>
      <c r="B8" s="50">
        <f t="shared" si="0"/>
        <v>520</v>
      </c>
      <c r="C8" s="46">
        <f t="shared" si="1"/>
        <v>660</v>
      </c>
      <c r="D8" s="46">
        <f t="shared" si="2"/>
        <v>211.29999999999998</v>
      </c>
      <c r="E8" s="46">
        <f t="shared" si="2"/>
        <v>0</v>
      </c>
      <c r="F8" s="46">
        <f t="shared" si="2"/>
        <v>30</v>
      </c>
      <c r="G8" s="46">
        <f t="shared" si="2"/>
        <v>98.699999999999989</v>
      </c>
      <c r="H8" s="46">
        <f t="shared" si="2"/>
        <v>20</v>
      </c>
      <c r="I8" s="46">
        <f t="shared" si="2"/>
        <v>0</v>
      </c>
      <c r="J8" s="46">
        <f t="shared" si="2"/>
        <v>300</v>
      </c>
      <c r="K8" s="46"/>
      <c r="L8" s="46"/>
      <c r="M8" s="46">
        <v>60</v>
      </c>
      <c r="N8" s="46"/>
      <c r="O8" s="46">
        <v>40</v>
      </c>
      <c r="P8" s="46"/>
      <c r="Q8" s="46"/>
      <c r="R8" s="46" t="s">
        <v>62</v>
      </c>
      <c r="S8" s="46" t="s">
        <v>60</v>
      </c>
      <c r="T8" s="46">
        <v>25.92</v>
      </c>
      <c r="U8" s="46">
        <v>70.08</v>
      </c>
      <c r="V8" s="63">
        <f t="shared" si="3"/>
        <v>100</v>
      </c>
      <c r="W8" s="106">
        <f>Summary!$C$20*K8+Summary!$C$21*L8+Summary!$C$22*M8+Summary!$C$23*N8+Summary!$C$24*O8+Summary!$C$25*P8+Summary!$C$26*Q8</f>
        <v>1390.2</v>
      </c>
      <c r="X8" t="s">
        <v>61</v>
      </c>
      <c r="Y8">
        <v>96</v>
      </c>
      <c r="Z8">
        <v>96</v>
      </c>
      <c r="AF8" s="30" t="s">
        <v>63</v>
      </c>
      <c r="AG8" s="72" t="s">
        <v>64</v>
      </c>
      <c r="AH8" s="72"/>
      <c r="AI8" s="72"/>
      <c r="AJ8" s="72"/>
      <c r="AK8" s="72"/>
      <c r="AL8" s="30"/>
      <c r="AM8" s="29"/>
    </row>
    <row r="9" spans="1:39" x14ac:dyDescent="0.3">
      <c r="A9">
        <v>6</v>
      </c>
      <c r="B9" s="50">
        <f t="shared" si="0"/>
        <v>70</v>
      </c>
      <c r="C9" s="46">
        <f t="shared" si="1"/>
        <v>1110</v>
      </c>
      <c r="D9" s="56">
        <f>D8-K9+400</f>
        <v>611.29999999999995</v>
      </c>
      <c r="E9" s="48">
        <f>E8-L9+150</f>
        <v>150</v>
      </c>
      <c r="F9" s="46">
        <f t="shared" ref="F9:J14" si="4">F8-M9</f>
        <v>-30</v>
      </c>
      <c r="G9" s="46">
        <f t="shared" si="4"/>
        <v>98.699999999999989</v>
      </c>
      <c r="H9" s="46">
        <f t="shared" si="4"/>
        <v>-20</v>
      </c>
      <c r="I9" s="46">
        <f t="shared" si="4"/>
        <v>0</v>
      </c>
      <c r="J9" s="46">
        <f t="shared" si="4"/>
        <v>300</v>
      </c>
      <c r="K9" s="46"/>
      <c r="L9" s="46"/>
      <c r="M9" s="46">
        <v>60</v>
      </c>
      <c r="N9" s="46"/>
      <c r="O9" s="46">
        <v>40</v>
      </c>
      <c r="P9" s="46"/>
      <c r="Q9" s="46"/>
      <c r="R9" s="46" t="s">
        <v>62</v>
      </c>
      <c r="S9" s="46" t="s">
        <v>60</v>
      </c>
      <c r="T9" s="46">
        <v>25.92</v>
      </c>
      <c r="U9" s="46">
        <v>70.08</v>
      </c>
      <c r="V9" s="63">
        <f t="shared" si="3"/>
        <v>100</v>
      </c>
      <c r="W9" s="106">
        <f>Summary!$C$20*K9+Summary!$C$21*L9+Summary!$C$22*M9+Summary!$C$23*N9+Summary!$C$24*O9+Summary!$C$25*P9+Summary!$C$26*Q9</f>
        <v>1390.2</v>
      </c>
      <c r="X9" t="s">
        <v>61</v>
      </c>
      <c r="Y9">
        <v>96</v>
      </c>
      <c r="Z9">
        <v>96</v>
      </c>
      <c r="AF9" s="30" t="s">
        <v>63</v>
      </c>
      <c r="AG9" s="72" t="s">
        <v>65</v>
      </c>
      <c r="AH9" s="72"/>
      <c r="AI9" s="72"/>
      <c r="AJ9" s="72"/>
      <c r="AK9" s="72"/>
      <c r="AL9" s="30"/>
      <c r="AM9" s="29"/>
    </row>
    <row r="10" spans="1:39" x14ac:dyDescent="0.3">
      <c r="A10">
        <v>7</v>
      </c>
      <c r="B10" s="50">
        <f t="shared" si="0"/>
        <v>170</v>
      </c>
      <c r="C10" s="46">
        <f t="shared" si="1"/>
        <v>1010</v>
      </c>
      <c r="D10" s="56">
        <f t="shared" ref="D10:D26" si="5">D9-K10</f>
        <v>611.29999999999995</v>
      </c>
      <c r="E10" s="56">
        <f t="shared" ref="E10:E26" si="6">E9-L10</f>
        <v>150</v>
      </c>
      <c r="F10" s="46">
        <f t="shared" si="4"/>
        <v>-90</v>
      </c>
      <c r="G10" s="46">
        <f t="shared" si="4"/>
        <v>98.699999999999989</v>
      </c>
      <c r="H10" s="46">
        <f t="shared" si="4"/>
        <v>-60</v>
      </c>
      <c r="I10" s="46">
        <f t="shared" si="4"/>
        <v>0</v>
      </c>
      <c r="J10" s="46">
        <f t="shared" si="4"/>
        <v>300</v>
      </c>
      <c r="K10" s="46"/>
      <c r="L10" s="46"/>
      <c r="M10" s="46">
        <v>60</v>
      </c>
      <c r="N10" s="46"/>
      <c r="O10" s="46">
        <v>40</v>
      </c>
      <c r="P10" s="46"/>
      <c r="Q10" s="46"/>
      <c r="R10" s="46" t="s">
        <v>62</v>
      </c>
      <c r="S10" s="46" t="s">
        <v>60</v>
      </c>
      <c r="T10" s="46">
        <v>25.92</v>
      </c>
      <c r="U10" s="46">
        <v>70.08</v>
      </c>
      <c r="V10" s="63">
        <f t="shared" si="3"/>
        <v>100</v>
      </c>
      <c r="W10" s="106">
        <f>Summary!$C$20*K10+Summary!$C$21*L10+Summary!$C$22*M10+Summary!$C$23*N10+Summary!$C$24*O10+Summary!$C$25*P10+Summary!$C$26*Q10</f>
        <v>1390.2</v>
      </c>
      <c r="X10" t="s">
        <v>61</v>
      </c>
      <c r="Y10">
        <v>96</v>
      </c>
      <c r="Z10">
        <v>96</v>
      </c>
      <c r="AF10" s="30" t="s">
        <v>66</v>
      </c>
      <c r="AG10" s="72" t="s">
        <v>67</v>
      </c>
      <c r="AH10" s="72"/>
      <c r="AI10" s="72"/>
      <c r="AJ10" s="72"/>
      <c r="AK10" s="72"/>
      <c r="AL10" s="30"/>
      <c r="AM10" s="29"/>
    </row>
    <row r="11" spans="1:39" x14ac:dyDescent="0.3">
      <c r="A11">
        <v>8</v>
      </c>
      <c r="B11" s="50">
        <f t="shared" si="0"/>
        <v>270</v>
      </c>
      <c r="C11" s="46">
        <f t="shared" si="1"/>
        <v>910</v>
      </c>
      <c r="D11" s="56">
        <f t="shared" si="5"/>
        <v>611.29999999999995</v>
      </c>
      <c r="E11" s="56">
        <f t="shared" si="6"/>
        <v>150</v>
      </c>
      <c r="F11" s="46">
        <f t="shared" si="4"/>
        <v>-150</v>
      </c>
      <c r="G11" s="46">
        <f t="shared" si="4"/>
        <v>98.699999999999989</v>
      </c>
      <c r="H11" s="46">
        <f t="shared" si="4"/>
        <v>-100</v>
      </c>
      <c r="I11" s="46">
        <f t="shared" si="4"/>
        <v>0</v>
      </c>
      <c r="J11" s="46">
        <f t="shared" si="4"/>
        <v>300</v>
      </c>
      <c r="K11" s="46"/>
      <c r="L11" s="46"/>
      <c r="M11" s="46">
        <v>60</v>
      </c>
      <c r="N11" s="46"/>
      <c r="O11" s="46">
        <v>40</v>
      </c>
      <c r="P11" s="46"/>
      <c r="Q11" s="46"/>
      <c r="R11" s="46" t="s">
        <v>62</v>
      </c>
      <c r="S11" s="46" t="s">
        <v>60</v>
      </c>
      <c r="T11" s="46">
        <v>25.92</v>
      </c>
      <c r="U11" s="46">
        <v>70.08</v>
      </c>
      <c r="V11" s="63">
        <f t="shared" si="3"/>
        <v>100</v>
      </c>
      <c r="W11" s="106">
        <f>Summary!$C$20*K11+Summary!$C$21*L11+Summary!$C$22*M11+Summary!$C$23*N11+Summary!$C$24*O11+Summary!$C$25*P11+Summary!$C$26*Q11</f>
        <v>1390.2</v>
      </c>
      <c r="X11" t="s">
        <v>61</v>
      </c>
      <c r="Y11">
        <v>96</v>
      </c>
      <c r="Z11">
        <v>96</v>
      </c>
      <c r="AF11" s="30" t="s">
        <v>66</v>
      </c>
      <c r="AG11" s="72" t="s">
        <v>58</v>
      </c>
      <c r="AI11" s="72"/>
      <c r="AJ11" s="72"/>
      <c r="AK11" s="72"/>
      <c r="AM11" s="29"/>
    </row>
    <row r="12" spans="1:39" ht="15" customHeight="1" x14ac:dyDescent="0.3">
      <c r="A12">
        <v>9</v>
      </c>
      <c r="B12" s="50">
        <f t="shared" si="0"/>
        <v>370</v>
      </c>
      <c r="C12" s="46">
        <f t="shared" si="1"/>
        <v>810</v>
      </c>
      <c r="D12" s="56">
        <f t="shared" si="5"/>
        <v>611.29999999999995</v>
      </c>
      <c r="E12" s="56">
        <f t="shared" si="6"/>
        <v>150</v>
      </c>
      <c r="F12" s="46">
        <f t="shared" si="4"/>
        <v>-210</v>
      </c>
      <c r="G12" s="46">
        <f t="shared" si="4"/>
        <v>98.699999999999989</v>
      </c>
      <c r="H12" s="46">
        <f t="shared" si="4"/>
        <v>-140</v>
      </c>
      <c r="I12" s="46">
        <f t="shared" si="4"/>
        <v>0</v>
      </c>
      <c r="J12" s="46">
        <f t="shared" si="4"/>
        <v>300</v>
      </c>
      <c r="K12" s="46"/>
      <c r="L12" s="46"/>
      <c r="M12" s="46">
        <v>60</v>
      </c>
      <c r="N12" s="46"/>
      <c r="O12" s="46">
        <v>40</v>
      </c>
      <c r="P12" s="46"/>
      <c r="Q12" s="46"/>
      <c r="R12" s="46" t="s">
        <v>62</v>
      </c>
      <c r="S12" s="46" t="s">
        <v>60</v>
      </c>
      <c r="T12" s="46">
        <v>25.92</v>
      </c>
      <c r="U12" s="46">
        <v>70.08</v>
      </c>
      <c r="V12" s="74">
        <f t="shared" si="3"/>
        <v>100</v>
      </c>
      <c r="W12" s="106">
        <f>Summary!$C$20*K12+Summary!$C$21*L12+Summary!$C$22*M12+Summary!$C$23*N12+Summary!$C$24*O12+Summary!$C$25*P12+Summary!$C$26*Q12</f>
        <v>1390.2</v>
      </c>
      <c r="X12" t="s">
        <v>61</v>
      </c>
      <c r="Y12">
        <v>96</v>
      </c>
      <c r="Z12">
        <v>96</v>
      </c>
      <c r="AF12" s="30" t="s">
        <v>66</v>
      </c>
      <c r="AG12" s="72" t="s">
        <v>58</v>
      </c>
      <c r="AI12" s="72"/>
      <c r="AJ12" s="72"/>
      <c r="AK12" s="72"/>
      <c r="AM12" s="29"/>
    </row>
    <row r="13" spans="1:39" x14ac:dyDescent="0.3">
      <c r="A13">
        <v>10</v>
      </c>
      <c r="B13" s="50">
        <f t="shared" si="0"/>
        <v>470</v>
      </c>
      <c r="C13" s="46">
        <f t="shared" si="1"/>
        <v>710</v>
      </c>
      <c r="D13" s="55">
        <f t="shared" si="5"/>
        <v>611.29999999999995</v>
      </c>
      <c r="E13" s="55">
        <f t="shared" si="6"/>
        <v>150</v>
      </c>
      <c r="F13" s="46">
        <f t="shared" si="4"/>
        <v>-270</v>
      </c>
      <c r="G13" s="46">
        <f t="shared" si="4"/>
        <v>98.699999999999989</v>
      </c>
      <c r="H13" s="46">
        <f t="shared" si="4"/>
        <v>-180</v>
      </c>
      <c r="I13" s="46">
        <f t="shared" si="4"/>
        <v>0</v>
      </c>
      <c r="J13" s="46">
        <f t="shared" si="4"/>
        <v>300</v>
      </c>
      <c r="K13" s="46"/>
      <c r="L13" s="46"/>
      <c r="M13" s="46">
        <v>60</v>
      </c>
      <c r="N13" s="46"/>
      <c r="O13" s="46">
        <v>40</v>
      </c>
      <c r="P13" s="46"/>
      <c r="Q13" s="46"/>
      <c r="R13" s="46" t="s">
        <v>62</v>
      </c>
      <c r="S13" s="46" t="s">
        <v>60</v>
      </c>
      <c r="T13" s="46">
        <v>20.399999999999991</v>
      </c>
      <c r="U13" s="46">
        <v>55.15555555555553</v>
      </c>
      <c r="V13" s="63">
        <f t="shared" si="3"/>
        <v>100</v>
      </c>
      <c r="W13" s="106">
        <f>Summary!$C$20*K13+Summary!$C$21*L13+Summary!$C$22*M13+Summary!$C$23*N13+Summary!$C$24*O13+Summary!$C$25*P13+Summary!$C$26*Q13</f>
        <v>1390.2</v>
      </c>
      <c r="X13" t="s">
        <v>61</v>
      </c>
      <c r="Y13">
        <v>75.555555555555515</v>
      </c>
      <c r="Z13">
        <v>96</v>
      </c>
      <c r="AF13" s="30" t="s">
        <v>68</v>
      </c>
      <c r="AG13" s="72" t="s">
        <v>58</v>
      </c>
      <c r="AH13" s="72" t="s">
        <v>69</v>
      </c>
      <c r="AI13"/>
      <c r="AJ13" s="72"/>
      <c r="AK13" s="72"/>
      <c r="AL13"/>
      <c r="AM13" s="29"/>
    </row>
    <row r="14" spans="1:39" ht="15.6" customHeight="1" x14ac:dyDescent="0.3">
      <c r="A14">
        <v>11</v>
      </c>
      <c r="B14" s="50">
        <f t="shared" si="0"/>
        <v>570</v>
      </c>
      <c r="C14" s="46">
        <f t="shared" si="1"/>
        <v>610</v>
      </c>
      <c r="D14" s="46">
        <f t="shared" si="5"/>
        <v>611.29999999999995</v>
      </c>
      <c r="E14" s="46">
        <f t="shared" si="6"/>
        <v>150</v>
      </c>
      <c r="F14" s="46">
        <f t="shared" si="4"/>
        <v>-330</v>
      </c>
      <c r="G14" s="46">
        <f t="shared" si="4"/>
        <v>98.699999999999989</v>
      </c>
      <c r="H14" s="46">
        <f t="shared" si="4"/>
        <v>-220</v>
      </c>
      <c r="I14" s="46">
        <f t="shared" si="4"/>
        <v>0</v>
      </c>
      <c r="J14" s="46">
        <f t="shared" si="4"/>
        <v>300</v>
      </c>
      <c r="K14" s="46"/>
      <c r="L14" s="46"/>
      <c r="M14" s="46">
        <v>60</v>
      </c>
      <c r="N14" s="46"/>
      <c r="O14" s="46">
        <v>40</v>
      </c>
      <c r="P14" s="46"/>
      <c r="Q14" s="46"/>
      <c r="R14" s="46" t="s">
        <v>59</v>
      </c>
      <c r="S14" s="46" t="s">
        <v>60</v>
      </c>
      <c r="T14" s="46">
        <v>25.65</v>
      </c>
      <c r="U14" s="46">
        <v>69.349999999999994</v>
      </c>
      <c r="V14" s="63">
        <f t="shared" si="3"/>
        <v>100</v>
      </c>
      <c r="W14" s="106">
        <f>Summary!$C$20*K14+Summary!$C$21*L14+Summary!$C$22*M14+Summary!$C$23*N14+Summary!$C$24*O14+Summary!$C$25*P14+Summary!$C$26*Q14</f>
        <v>1390.2</v>
      </c>
      <c r="X14" t="s">
        <v>61</v>
      </c>
      <c r="Y14">
        <v>95</v>
      </c>
      <c r="Z14">
        <v>95</v>
      </c>
      <c r="AF14" s="30"/>
      <c r="AG14" s="72" t="s">
        <v>63</v>
      </c>
      <c r="AH14" s="72" t="s">
        <v>58</v>
      </c>
      <c r="AI14" s="72" t="s">
        <v>70</v>
      </c>
      <c r="AJ14" s="30"/>
      <c r="AK14" s="72"/>
      <c r="AM14" s="29"/>
    </row>
    <row r="15" spans="1:39" x14ac:dyDescent="0.3">
      <c r="A15">
        <v>12</v>
      </c>
      <c r="B15" s="50">
        <f t="shared" si="0"/>
        <v>100</v>
      </c>
      <c r="C15" s="46">
        <f t="shared" si="1"/>
        <v>1080</v>
      </c>
      <c r="D15" s="46">
        <f t="shared" si="5"/>
        <v>611.29999999999995</v>
      </c>
      <c r="E15" s="46">
        <f t="shared" si="6"/>
        <v>150</v>
      </c>
      <c r="F15" s="46">
        <f t="shared" ref="F15:H16" si="7">F14-M15</f>
        <v>-390</v>
      </c>
      <c r="G15" s="46">
        <f t="shared" si="7"/>
        <v>98.699999999999989</v>
      </c>
      <c r="H15" s="46">
        <f t="shared" si="7"/>
        <v>-260</v>
      </c>
      <c r="I15" s="56">
        <f>I14-P15+250</f>
        <v>250</v>
      </c>
      <c r="J15" s="56">
        <f>J14-Q15+320</f>
        <v>620</v>
      </c>
      <c r="K15" s="46"/>
      <c r="L15" s="73"/>
      <c r="M15" s="46">
        <v>60</v>
      </c>
      <c r="N15" s="46"/>
      <c r="O15" s="46">
        <v>40</v>
      </c>
      <c r="P15" s="46"/>
      <c r="Q15" s="46"/>
      <c r="R15" s="46" t="s">
        <v>59</v>
      </c>
      <c r="S15" s="46" t="s">
        <v>60</v>
      </c>
      <c r="T15" s="46">
        <v>25.65</v>
      </c>
      <c r="U15" s="46">
        <v>69.349999999999994</v>
      </c>
      <c r="V15" s="74">
        <f t="shared" si="3"/>
        <v>100</v>
      </c>
      <c r="W15" s="106">
        <f>Summary!$C$20*K15+Summary!$C$21*L15+Summary!$C$22*M15+Summary!$C$23*N15+Summary!$C$24*O15+Summary!$C$25*P15+Summary!$C$26*Q15</f>
        <v>1390.2</v>
      </c>
      <c r="X15" t="s">
        <v>61</v>
      </c>
      <c r="Y15">
        <v>95</v>
      </c>
      <c r="Z15">
        <v>95</v>
      </c>
      <c r="AF15" s="30"/>
      <c r="AG15" s="72" t="s">
        <v>63</v>
      </c>
      <c r="AH15" s="72" t="s">
        <v>58</v>
      </c>
      <c r="AI15" s="72" t="s">
        <v>58</v>
      </c>
      <c r="AJ15" s="30"/>
      <c r="AK15" s="30"/>
      <c r="AM15" s="29"/>
    </row>
    <row r="16" spans="1:39" x14ac:dyDescent="0.3">
      <c r="A16">
        <v>13</v>
      </c>
      <c r="B16" s="50">
        <f t="shared" si="0"/>
        <v>200</v>
      </c>
      <c r="C16" s="46">
        <f t="shared" si="1"/>
        <v>980</v>
      </c>
      <c r="D16" s="46">
        <f t="shared" si="5"/>
        <v>611.29999999999995</v>
      </c>
      <c r="E16" s="46">
        <f t="shared" si="6"/>
        <v>150</v>
      </c>
      <c r="F16" s="46">
        <f t="shared" si="7"/>
        <v>-450</v>
      </c>
      <c r="G16" s="46">
        <f t="shared" si="7"/>
        <v>98.699999999999989</v>
      </c>
      <c r="H16" s="46">
        <f t="shared" si="7"/>
        <v>-300</v>
      </c>
      <c r="I16" s="56">
        <f t="shared" ref="I16:J20" si="8">I15-P16</f>
        <v>250</v>
      </c>
      <c r="J16" s="56">
        <f t="shared" si="8"/>
        <v>620</v>
      </c>
      <c r="K16" s="46"/>
      <c r="L16" s="73"/>
      <c r="M16" s="46">
        <v>60</v>
      </c>
      <c r="N16" s="46"/>
      <c r="O16" s="46">
        <v>40</v>
      </c>
      <c r="P16" s="46"/>
      <c r="Q16" s="46"/>
      <c r="R16" s="46" t="s">
        <v>59</v>
      </c>
      <c r="S16" s="46" t="s">
        <v>60</v>
      </c>
      <c r="T16" s="46">
        <v>25.65</v>
      </c>
      <c r="U16" s="46">
        <v>69.349999999999994</v>
      </c>
      <c r="V16" s="74">
        <f t="shared" si="3"/>
        <v>100</v>
      </c>
      <c r="W16" s="106">
        <f>Summary!$C$20*K16+Summary!$C$21*L16+Summary!$C$22*M16+Summary!$C$23*N16+Summary!$C$24*O16+Summary!$C$25*P16+Summary!$C$26*Q16</f>
        <v>1390.2</v>
      </c>
      <c r="X16" t="s">
        <v>61</v>
      </c>
      <c r="Y16">
        <v>95</v>
      </c>
      <c r="Z16">
        <v>95</v>
      </c>
      <c r="AF16" s="30"/>
      <c r="AG16" s="72" t="s">
        <v>71</v>
      </c>
      <c r="AH16" s="72" t="s">
        <v>63</v>
      </c>
      <c r="AI16" s="72" t="s">
        <v>58</v>
      </c>
      <c r="AJ16" s="30"/>
      <c r="AK16" s="30"/>
      <c r="AM16" s="29"/>
    </row>
    <row r="17" spans="1:39" x14ac:dyDescent="0.3">
      <c r="A17">
        <v>14</v>
      </c>
      <c r="B17" s="50">
        <f t="shared" si="0"/>
        <v>150</v>
      </c>
      <c r="C17" s="46">
        <f t="shared" si="1"/>
        <v>1030</v>
      </c>
      <c r="D17" s="46">
        <f t="shared" si="5"/>
        <v>611.29999999999995</v>
      </c>
      <c r="E17" s="46">
        <f t="shared" si="6"/>
        <v>150</v>
      </c>
      <c r="F17" s="56">
        <f>F16-M17 + 150</f>
        <v>-360</v>
      </c>
      <c r="G17" s="46">
        <f t="shared" ref="G17:G26" si="9">G16-N17</f>
        <v>98.699999999999989</v>
      </c>
      <c r="H17" s="46">
        <f t="shared" ref="H17:H26" si="10">H16-O17</f>
        <v>-340</v>
      </c>
      <c r="I17" s="56">
        <f t="shared" si="8"/>
        <v>250</v>
      </c>
      <c r="J17" s="56">
        <f t="shared" si="8"/>
        <v>620</v>
      </c>
      <c r="K17" s="46"/>
      <c r="L17" s="73"/>
      <c r="M17" s="46">
        <v>60</v>
      </c>
      <c r="N17" s="46"/>
      <c r="O17" s="46">
        <v>40</v>
      </c>
      <c r="P17" s="46"/>
      <c r="Q17" s="46"/>
      <c r="R17" s="46" t="s">
        <v>59</v>
      </c>
      <c r="S17" s="46" t="s">
        <v>60</v>
      </c>
      <c r="T17" s="46">
        <v>24.797260273972611</v>
      </c>
      <c r="U17" s="46">
        <v>67.044444444444451</v>
      </c>
      <c r="V17" s="74">
        <f t="shared" si="3"/>
        <v>100</v>
      </c>
      <c r="W17" s="106">
        <f>Summary!$C$20*K17+Summary!$C$21*L17+Summary!$C$22*M17+Summary!$C$23*N17+Summary!$C$24*O17+Summary!$C$25*P17+Summary!$C$26*Q17</f>
        <v>1390.2</v>
      </c>
      <c r="X17" t="s">
        <v>61</v>
      </c>
      <c r="Y17">
        <v>91.841704718417063</v>
      </c>
      <c r="Z17">
        <v>95</v>
      </c>
      <c r="AF17" s="30"/>
      <c r="AG17" s="72" t="s">
        <v>71</v>
      </c>
      <c r="AH17" s="72" t="s">
        <v>63</v>
      </c>
      <c r="AI17" s="72" t="s">
        <v>58</v>
      </c>
      <c r="AJ17" s="30"/>
      <c r="AK17" s="30"/>
      <c r="AM17" s="29"/>
    </row>
    <row r="18" spans="1:39" x14ac:dyDescent="0.3">
      <c r="A18">
        <v>15</v>
      </c>
      <c r="B18" s="50">
        <f t="shared" si="0"/>
        <v>250</v>
      </c>
      <c r="C18" s="46">
        <f t="shared" si="1"/>
        <v>930</v>
      </c>
      <c r="D18" s="46">
        <f t="shared" si="5"/>
        <v>611.29999999999995</v>
      </c>
      <c r="E18" s="46">
        <f t="shared" si="6"/>
        <v>150</v>
      </c>
      <c r="F18" s="56">
        <f t="shared" ref="F18:F44" si="11">F17-M18</f>
        <v>-420</v>
      </c>
      <c r="G18" s="46">
        <f t="shared" si="9"/>
        <v>98.699999999999989</v>
      </c>
      <c r="H18" s="46">
        <f t="shared" si="10"/>
        <v>-380</v>
      </c>
      <c r="I18" s="56">
        <f t="shared" si="8"/>
        <v>250</v>
      </c>
      <c r="J18" s="56">
        <f t="shared" si="8"/>
        <v>620</v>
      </c>
      <c r="K18" s="46"/>
      <c r="L18" s="73"/>
      <c r="M18" s="46">
        <v>60</v>
      </c>
      <c r="N18" s="46"/>
      <c r="O18" s="46">
        <v>40</v>
      </c>
      <c r="P18" s="46"/>
      <c r="Q18" s="46"/>
      <c r="R18" s="46" t="s">
        <v>53</v>
      </c>
      <c r="S18" s="46"/>
      <c r="T18" s="46">
        <v>7.1054273576010019E-15</v>
      </c>
      <c r="U18" s="46">
        <v>0</v>
      </c>
      <c r="V18" s="74">
        <f t="shared" si="3"/>
        <v>100</v>
      </c>
      <c r="W18" s="106">
        <f>Summary!$C$20*K18+Summary!$C$21*L18+Summary!$C$22*M18+Summary!$C$23*N18+Summary!$C$24*O18+Summary!$C$25*P18+Summary!$C$26*Q18</f>
        <v>1390.2</v>
      </c>
      <c r="X18" t="s">
        <v>72</v>
      </c>
      <c r="Y18">
        <v>7.1054273576010019E-15</v>
      </c>
      <c r="Z18">
        <v>96</v>
      </c>
      <c r="AF18" s="30"/>
      <c r="AG18" s="72" t="s">
        <v>71</v>
      </c>
      <c r="AH18" s="72" t="s">
        <v>71</v>
      </c>
      <c r="AI18" s="28" t="s">
        <v>73</v>
      </c>
      <c r="AJ18" s="30"/>
      <c r="AK18" s="30"/>
      <c r="AM18" s="29"/>
    </row>
    <row r="19" spans="1:39" x14ac:dyDescent="0.3">
      <c r="A19">
        <v>16</v>
      </c>
      <c r="B19" s="50">
        <f t="shared" si="0"/>
        <v>350</v>
      </c>
      <c r="C19" s="46">
        <f t="shared" si="1"/>
        <v>830</v>
      </c>
      <c r="D19" s="75">
        <f t="shared" si="5"/>
        <v>611.29999999999995</v>
      </c>
      <c r="E19" s="46">
        <f t="shared" si="6"/>
        <v>150</v>
      </c>
      <c r="F19" s="56">
        <f t="shared" si="11"/>
        <v>-480</v>
      </c>
      <c r="G19" s="46">
        <f t="shared" si="9"/>
        <v>98.699999999999989</v>
      </c>
      <c r="H19" s="46">
        <f t="shared" si="10"/>
        <v>-420</v>
      </c>
      <c r="I19" s="55">
        <f t="shared" si="8"/>
        <v>250</v>
      </c>
      <c r="J19" s="55">
        <f t="shared" si="8"/>
        <v>620</v>
      </c>
      <c r="K19" s="73"/>
      <c r="L19" s="46"/>
      <c r="M19" s="46">
        <v>60</v>
      </c>
      <c r="N19" s="46"/>
      <c r="O19" s="46">
        <v>40</v>
      </c>
      <c r="P19" s="46"/>
      <c r="Q19" s="73"/>
      <c r="R19" s="46" t="s">
        <v>59</v>
      </c>
      <c r="S19" s="46"/>
      <c r="T19" s="46">
        <v>95</v>
      </c>
      <c r="U19" s="46">
        <v>0</v>
      </c>
      <c r="V19" s="74">
        <f t="shared" si="3"/>
        <v>100</v>
      </c>
      <c r="W19" s="106">
        <f>Summary!$C$20*K19+Summary!$C$21*L19+Summary!$C$22*M19+Summary!$C$23*N19+Summary!$C$24*O19+Summary!$C$25*P19+Summary!$C$26*Q19</f>
        <v>1390.2</v>
      </c>
      <c r="X19" t="s">
        <v>72</v>
      </c>
      <c r="Y19">
        <v>95</v>
      </c>
      <c r="Z19">
        <v>95</v>
      </c>
      <c r="AF19" s="30"/>
      <c r="AG19" s="72" t="s">
        <v>74</v>
      </c>
      <c r="AH19" s="72" t="s">
        <v>71</v>
      </c>
      <c r="AI19" s="28" t="s">
        <v>73</v>
      </c>
      <c r="AJ19" s="30"/>
      <c r="AK19" s="30"/>
      <c r="AL19"/>
      <c r="AM19" s="29"/>
    </row>
    <row r="20" spans="1:39" x14ac:dyDescent="0.3">
      <c r="A20">
        <v>17</v>
      </c>
      <c r="B20" s="50">
        <f t="shared" si="0"/>
        <v>450</v>
      </c>
      <c r="C20" s="46">
        <f t="shared" si="1"/>
        <v>730</v>
      </c>
      <c r="D20" s="46">
        <f t="shared" si="5"/>
        <v>611.29999999999995</v>
      </c>
      <c r="E20" s="46">
        <f t="shared" si="6"/>
        <v>150</v>
      </c>
      <c r="F20" s="56">
        <f t="shared" si="11"/>
        <v>-540</v>
      </c>
      <c r="G20" s="46">
        <f t="shared" si="9"/>
        <v>98.699999999999989</v>
      </c>
      <c r="H20" s="46">
        <f t="shared" si="10"/>
        <v>-460</v>
      </c>
      <c r="I20" s="46">
        <f t="shared" si="8"/>
        <v>250</v>
      </c>
      <c r="J20" s="46">
        <f t="shared" si="8"/>
        <v>620</v>
      </c>
      <c r="K20" s="46"/>
      <c r="L20" s="46"/>
      <c r="M20" s="46">
        <v>60</v>
      </c>
      <c r="N20" s="46"/>
      <c r="O20" s="46">
        <v>40</v>
      </c>
      <c r="P20" s="46"/>
      <c r="Q20" s="46"/>
      <c r="R20" s="46" t="s">
        <v>59</v>
      </c>
      <c r="S20" s="46"/>
      <c r="T20" s="46">
        <v>77.60273972602738</v>
      </c>
      <c r="U20" s="46">
        <v>0</v>
      </c>
      <c r="V20" s="63">
        <f t="shared" si="3"/>
        <v>100</v>
      </c>
      <c r="W20" s="106">
        <f>Summary!$C$20*K20+Summary!$C$21*L20+Summary!$C$22*M20+Summary!$C$23*N20+Summary!$C$24*O20+Summary!$C$25*P20+Summary!$C$26*Q20</f>
        <v>1390.2</v>
      </c>
      <c r="X20" t="s">
        <v>72</v>
      </c>
      <c r="Y20">
        <v>77.60273972602738</v>
      </c>
      <c r="Z20">
        <v>95</v>
      </c>
      <c r="AF20" s="30"/>
      <c r="AG20" s="30"/>
      <c r="AH20" s="72" t="s">
        <v>71</v>
      </c>
      <c r="AI20" s="28" t="s">
        <v>63</v>
      </c>
      <c r="AJ20" s="30"/>
      <c r="AK20" s="30"/>
      <c r="AL20" s="30"/>
      <c r="AM20" s="29"/>
    </row>
    <row r="21" spans="1:39" x14ac:dyDescent="0.3">
      <c r="A21">
        <v>18</v>
      </c>
      <c r="B21" s="50">
        <f t="shared" si="0"/>
        <v>0</v>
      </c>
      <c r="C21" s="46">
        <f t="shared" si="1"/>
        <v>1180</v>
      </c>
      <c r="D21" s="46">
        <f t="shared" si="5"/>
        <v>611.29999999999995</v>
      </c>
      <c r="E21" s="46">
        <f t="shared" si="6"/>
        <v>150</v>
      </c>
      <c r="F21" s="55">
        <f t="shared" si="11"/>
        <v>-600</v>
      </c>
      <c r="G21" s="46">
        <f t="shared" si="9"/>
        <v>98.699999999999989</v>
      </c>
      <c r="H21" s="46">
        <f t="shared" si="10"/>
        <v>-500</v>
      </c>
      <c r="I21" s="56">
        <f>I20-P21+550</f>
        <v>800</v>
      </c>
      <c r="J21" s="46">
        <f t="shared" ref="J21:J31" si="12">J20-Q21</f>
        <v>620</v>
      </c>
      <c r="K21" s="46"/>
      <c r="L21" s="46"/>
      <c r="M21" s="46">
        <v>60</v>
      </c>
      <c r="N21" s="46"/>
      <c r="O21" s="46">
        <v>40</v>
      </c>
      <c r="P21" s="46"/>
      <c r="Q21" s="46"/>
      <c r="R21" s="46" t="s">
        <v>75</v>
      </c>
      <c r="S21" s="46"/>
      <c r="T21" s="46">
        <v>95</v>
      </c>
      <c r="U21" s="46">
        <v>0</v>
      </c>
      <c r="V21" s="63">
        <f t="shared" si="3"/>
        <v>100</v>
      </c>
      <c r="W21" s="106">
        <f>Summary!$C$20*K21+Summary!$C$21*L21+Summary!$C$22*M21+Summary!$C$23*N21+Summary!$C$24*O21+Summary!$C$25*P21+Summary!$C$26*Q21</f>
        <v>1390.2</v>
      </c>
      <c r="X21" t="s">
        <v>72</v>
      </c>
      <c r="Y21">
        <v>95</v>
      </c>
      <c r="Z21">
        <v>95</v>
      </c>
      <c r="AF21" s="30"/>
      <c r="AG21" s="30"/>
      <c r="AH21" s="30" t="s">
        <v>76</v>
      </c>
      <c r="AI21" s="28" t="s">
        <v>63</v>
      </c>
      <c r="AJ21" s="30" t="s">
        <v>77</v>
      </c>
      <c r="AK21" s="30"/>
      <c r="AL21" s="30"/>
      <c r="AM21" s="29"/>
    </row>
    <row r="22" spans="1:39" x14ac:dyDescent="0.3">
      <c r="A22">
        <v>19</v>
      </c>
      <c r="B22" s="50">
        <f t="shared" si="0"/>
        <v>100</v>
      </c>
      <c r="C22" s="46">
        <f t="shared" si="1"/>
        <v>1080</v>
      </c>
      <c r="D22" s="46">
        <f t="shared" si="5"/>
        <v>611.29999999999995</v>
      </c>
      <c r="E22" s="46">
        <f t="shared" si="6"/>
        <v>150</v>
      </c>
      <c r="F22" s="46">
        <f t="shared" si="11"/>
        <v>-660</v>
      </c>
      <c r="G22" s="46">
        <f t="shared" si="9"/>
        <v>98.699999999999989</v>
      </c>
      <c r="H22" s="46">
        <f t="shared" si="10"/>
        <v>-540</v>
      </c>
      <c r="I22" s="56">
        <f t="shared" ref="I22:I31" si="13">I21-P22</f>
        <v>800</v>
      </c>
      <c r="J22" s="46">
        <f t="shared" si="12"/>
        <v>620</v>
      </c>
      <c r="K22" s="46"/>
      <c r="L22" s="46"/>
      <c r="M22" s="46">
        <v>60</v>
      </c>
      <c r="N22" s="46"/>
      <c r="O22" s="46">
        <v>40</v>
      </c>
      <c r="P22" s="46"/>
      <c r="Q22" s="46"/>
      <c r="R22" s="46" t="s">
        <v>53</v>
      </c>
      <c r="S22" s="46"/>
      <c r="T22" s="46">
        <v>96</v>
      </c>
      <c r="U22" s="46">
        <v>0</v>
      </c>
      <c r="V22" s="63">
        <f t="shared" si="3"/>
        <v>100</v>
      </c>
      <c r="W22" s="106">
        <f>Summary!$C$20*K22+Summary!$C$21*L22+Summary!$C$22*M22+Summary!$C$23*N22+Summary!$C$24*O22+Summary!$C$25*P22+Summary!$C$26*Q22</f>
        <v>1390.2</v>
      </c>
      <c r="X22" t="s">
        <v>72</v>
      </c>
      <c r="Y22">
        <v>96</v>
      </c>
      <c r="Z22">
        <v>96</v>
      </c>
      <c r="AF22" s="30"/>
      <c r="AG22" s="30"/>
      <c r="AH22" s="30"/>
      <c r="AI22" s="72" t="s">
        <v>71</v>
      </c>
      <c r="AJ22" s="30" t="s">
        <v>78</v>
      </c>
      <c r="AK22" s="30"/>
      <c r="AL22" s="30"/>
      <c r="AM22" s="29"/>
    </row>
    <row r="23" spans="1:39" x14ac:dyDescent="0.3">
      <c r="A23">
        <v>20</v>
      </c>
      <c r="B23" s="50">
        <f t="shared" si="0"/>
        <v>100</v>
      </c>
      <c r="C23" s="46">
        <f t="shared" si="1"/>
        <v>1080</v>
      </c>
      <c r="D23" s="46">
        <f t="shared" si="5"/>
        <v>611.29999999999995</v>
      </c>
      <c r="E23" s="46">
        <f t="shared" si="6"/>
        <v>150</v>
      </c>
      <c r="F23" s="46">
        <f t="shared" si="11"/>
        <v>-660</v>
      </c>
      <c r="G23" s="46">
        <f t="shared" si="9"/>
        <v>98.699999999999989</v>
      </c>
      <c r="H23" s="46">
        <f t="shared" si="10"/>
        <v>-540</v>
      </c>
      <c r="I23" s="56">
        <f t="shared" si="13"/>
        <v>800</v>
      </c>
      <c r="J23" s="46">
        <f t="shared" si="12"/>
        <v>620</v>
      </c>
      <c r="K23" s="46"/>
      <c r="L23" s="46"/>
      <c r="M23" s="46"/>
      <c r="N23" s="46"/>
      <c r="O23" s="46"/>
      <c r="P23" s="46"/>
      <c r="Q23" s="73"/>
      <c r="R23" s="46" t="s">
        <v>53</v>
      </c>
      <c r="S23" s="46"/>
      <c r="T23" s="46">
        <v>96</v>
      </c>
      <c r="U23" s="46">
        <v>0</v>
      </c>
      <c r="V23" s="63">
        <f t="shared" si="3"/>
        <v>0</v>
      </c>
      <c r="W23" s="106">
        <f>Summary!$C$20*K23+Summary!$C$21*L23+Summary!$C$22*M23+Summary!$C$23*N23+Summary!$C$24*O23+Summary!$C$25*P23+Summary!$C$26*Q23</f>
        <v>0</v>
      </c>
      <c r="X23" t="s">
        <v>72</v>
      </c>
      <c r="Y23">
        <v>96</v>
      </c>
      <c r="Z23">
        <v>96</v>
      </c>
      <c r="AF23" s="30"/>
      <c r="AG23" s="30"/>
      <c r="AH23" s="30"/>
      <c r="AI23" s="72" t="s">
        <v>71</v>
      </c>
      <c r="AJ23" s="30" t="s">
        <v>58</v>
      </c>
      <c r="AK23" s="30"/>
      <c r="AL23" s="30"/>
      <c r="AM23" s="29"/>
    </row>
    <row r="24" spans="1:39" x14ac:dyDescent="0.3">
      <c r="A24">
        <v>21</v>
      </c>
      <c r="B24" s="50">
        <f t="shared" si="0"/>
        <v>100</v>
      </c>
      <c r="C24" s="46">
        <f t="shared" si="1"/>
        <v>1080</v>
      </c>
      <c r="D24" s="46">
        <f t="shared" si="5"/>
        <v>611.29999999999995</v>
      </c>
      <c r="E24" s="46">
        <f t="shared" si="6"/>
        <v>150</v>
      </c>
      <c r="F24" s="46">
        <f t="shared" si="11"/>
        <v>-660</v>
      </c>
      <c r="G24" s="46">
        <f t="shared" si="9"/>
        <v>98.699999999999989</v>
      </c>
      <c r="H24" s="46">
        <f t="shared" si="10"/>
        <v>-540</v>
      </c>
      <c r="I24" s="56">
        <f t="shared" si="13"/>
        <v>800</v>
      </c>
      <c r="J24" s="46">
        <f t="shared" si="12"/>
        <v>620</v>
      </c>
      <c r="K24" s="46"/>
      <c r="L24" s="46"/>
      <c r="M24" s="46"/>
      <c r="N24" s="46"/>
      <c r="O24" s="46"/>
      <c r="P24" s="46"/>
      <c r="Q24" s="46"/>
      <c r="R24" s="46" t="s">
        <v>53</v>
      </c>
      <c r="S24" s="46"/>
      <c r="T24" s="46">
        <v>8</v>
      </c>
      <c r="U24" s="46">
        <v>0</v>
      </c>
      <c r="V24" s="63">
        <f t="shared" si="3"/>
        <v>0</v>
      </c>
      <c r="W24" s="106">
        <f>Summary!$C$20*K24+Summary!$C$21*L24+Summary!$C$22*M24+Summary!$C$23*N24+Summary!$C$24*O24+Summary!$C$25*P24+Summary!$C$26*Q24</f>
        <v>0</v>
      </c>
      <c r="X24" t="s">
        <v>72</v>
      </c>
      <c r="Y24">
        <v>8</v>
      </c>
      <c r="Z24">
        <v>96</v>
      </c>
      <c r="AF24" s="30"/>
      <c r="AG24" s="30"/>
      <c r="AH24" s="30"/>
      <c r="AI24" s="72" t="s">
        <v>71</v>
      </c>
      <c r="AJ24" s="30" t="s">
        <v>58</v>
      </c>
      <c r="AK24" s="30" t="s">
        <v>79</v>
      </c>
      <c r="AL24" s="30"/>
      <c r="AM24" s="29"/>
    </row>
    <row r="25" spans="1:39" x14ac:dyDescent="0.3">
      <c r="A25">
        <v>22</v>
      </c>
      <c r="B25" s="50">
        <f t="shared" si="0"/>
        <v>100</v>
      </c>
      <c r="C25" s="46">
        <f t="shared" si="1"/>
        <v>1080</v>
      </c>
      <c r="D25" s="46">
        <f t="shared" si="5"/>
        <v>611.29999999999995</v>
      </c>
      <c r="E25" s="46">
        <f t="shared" si="6"/>
        <v>150</v>
      </c>
      <c r="F25" s="46">
        <f t="shared" si="11"/>
        <v>-660</v>
      </c>
      <c r="G25" s="46">
        <f t="shared" si="9"/>
        <v>98.699999999999989</v>
      </c>
      <c r="H25" s="46">
        <f t="shared" si="10"/>
        <v>-540</v>
      </c>
      <c r="I25" s="55">
        <f t="shared" si="13"/>
        <v>800</v>
      </c>
      <c r="J25" s="46">
        <f t="shared" si="12"/>
        <v>620</v>
      </c>
      <c r="K25" s="46"/>
      <c r="L25" s="46"/>
      <c r="M25" s="46"/>
      <c r="N25" s="46"/>
      <c r="O25" s="46"/>
      <c r="P25" s="46"/>
      <c r="Q25" s="46"/>
      <c r="R25" s="46" t="s">
        <v>60</v>
      </c>
      <c r="S25" s="46"/>
      <c r="T25" s="46">
        <v>87</v>
      </c>
      <c r="U25" s="46">
        <v>0</v>
      </c>
      <c r="V25" s="63">
        <f t="shared" si="3"/>
        <v>0</v>
      </c>
      <c r="W25" s="106">
        <f>Summary!$C$20*K25+Summary!$C$21*L25+Summary!$C$22*M25+Summary!$C$23*N25+Summary!$C$24*O25+Summary!$C$25*P25+Summary!$C$26*Q25</f>
        <v>0</v>
      </c>
      <c r="X25" t="s">
        <v>72</v>
      </c>
      <c r="Y25">
        <v>87</v>
      </c>
      <c r="Z25">
        <v>87</v>
      </c>
      <c r="AF25" s="30"/>
      <c r="AG25" s="30"/>
      <c r="AH25" s="30"/>
      <c r="AI25" s="72" t="s">
        <v>80</v>
      </c>
      <c r="AJ25" s="28" t="s">
        <v>73</v>
      </c>
      <c r="AK25" s="30" t="s">
        <v>81</v>
      </c>
      <c r="AL25" s="30"/>
      <c r="AM25" s="29"/>
    </row>
    <row r="26" spans="1:39" x14ac:dyDescent="0.3">
      <c r="A26">
        <v>23</v>
      </c>
      <c r="B26" s="50">
        <f t="shared" si="0"/>
        <v>100</v>
      </c>
      <c r="C26" s="46">
        <f t="shared" si="1"/>
        <v>1080</v>
      </c>
      <c r="D26" s="46">
        <f t="shared" si="5"/>
        <v>611.29999999999995</v>
      </c>
      <c r="E26" s="46">
        <f t="shared" si="6"/>
        <v>150</v>
      </c>
      <c r="F26" s="46">
        <f t="shared" si="11"/>
        <v>-660</v>
      </c>
      <c r="G26" s="46">
        <f t="shared" si="9"/>
        <v>98.699999999999989</v>
      </c>
      <c r="H26" s="46">
        <f t="shared" si="10"/>
        <v>-540</v>
      </c>
      <c r="I26" s="46">
        <f t="shared" si="13"/>
        <v>800</v>
      </c>
      <c r="J26" s="46">
        <f t="shared" si="12"/>
        <v>620</v>
      </c>
      <c r="K26" s="46"/>
      <c r="L26" s="46"/>
      <c r="M26" s="46"/>
      <c r="N26" s="46"/>
      <c r="O26" s="46"/>
      <c r="P26" s="46"/>
      <c r="Q26" s="46"/>
      <c r="R26" s="46" t="s">
        <v>60</v>
      </c>
      <c r="S26" s="46"/>
      <c r="T26" s="46">
        <v>87</v>
      </c>
      <c r="U26" s="46">
        <v>0</v>
      </c>
      <c r="V26" s="63">
        <f t="shared" si="3"/>
        <v>0</v>
      </c>
      <c r="W26" s="106">
        <f>Summary!$C$20*K26+Summary!$C$21*L26+Summary!$C$22*M26+Summary!$C$23*N26+Summary!$C$24*O26+Summary!$C$25*P26+Summary!$C$26*Q26</f>
        <v>0</v>
      </c>
      <c r="X26" t="s">
        <v>72</v>
      </c>
      <c r="Y26">
        <v>87</v>
      </c>
      <c r="Z26">
        <v>87</v>
      </c>
      <c r="AF26" s="30"/>
      <c r="AG26" s="30"/>
      <c r="AH26" s="30"/>
      <c r="AJ26" s="30" t="s">
        <v>63</v>
      </c>
      <c r="AK26" s="30" t="s">
        <v>82</v>
      </c>
      <c r="AL26" s="30"/>
      <c r="AM26" s="29"/>
    </row>
    <row r="27" spans="1:39" x14ac:dyDescent="0.3">
      <c r="A27">
        <v>24</v>
      </c>
      <c r="B27" s="50">
        <f t="shared" si="0"/>
        <v>-460</v>
      </c>
      <c r="C27" s="46">
        <f t="shared" si="1"/>
        <v>1640</v>
      </c>
      <c r="D27" s="56">
        <f>D26-K27+360</f>
        <v>971.3</v>
      </c>
      <c r="E27" s="46">
        <f t="shared" ref="E27:E44" si="14">E26-L27</f>
        <v>150</v>
      </c>
      <c r="F27" s="46">
        <f t="shared" si="11"/>
        <v>-660</v>
      </c>
      <c r="G27" s="56">
        <f>G26-N27+200</f>
        <v>298.7</v>
      </c>
      <c r="H27" s="46">
        <f>H26-O27</f>
        <v>-540</v>
      </c>
      <c r="I27" s="46">
        <f t="shared" si="13"/>
        <v>800</v>
      </c>
      <c r="J27" s="46">
        <f t="shared" si="12"/>
        <v>620</v>
      </c>
      <c r="K27" s="46"/>
      <c r="L27" s="46"/>
      <c r="M27" s="46"/>
      <c r="N27" s="46"/>
      <c r="O27" s="46"/>
      <c r="P27" s="46"/>
      <c r="Q27" s="46"/>
      <c r="R27" s="46" t="s">
        <v>60</v>
      </c>
      <c r="S27" s="46"/>
      <c r="T27" s="46">
        <v>87</v>
      </c>
      <c r="U27" s="46">
        <v>0</v>
      </c>
      <c r="V27" s="63">
        <f t="shared" si="3"/>
        <v>0</v>
      </c>
      <c r="W27" s="106">
        <f>Summary!$C$20*K27+Summary!$C$21*L27+Summary!$C$22*M27+Summary!$C$23*N27+Summary!$C$24*O27+Summary!$C$25*P27+Summary!$C$26*Q27</f>
        <v>0</v>
      </c>
      <c r="X27" t="s">
        <v>72</v>
      </c>
      <c r="Y27">
        <v>87</v>
      </c>
      <c r="Z27">
        <v>87</v>
      </c>
      <c r="AF27" s="30"/>
      <c r="AG27" s="30"/>
      <c r="AH27" s="30"/>
      <c r="AI27" s="30"/>
      <c r="AJ27" s="30" t="s">
        <v>63</v>
      </c>
      <c r="AK27" s="30" t="s">
        <v>83</v>
      </c>
      <c r="AL27" s="30"/>
      <c r="AM27" s="29"/>
    </row>
    <row r="28" spans="1:39" x14ac:dyDescent="0.3">
      <c r="A28">
        <v>25</v>
      </c>
      <c r="B28" s="50">
        <f t="shared" si="0"/>
        <v>-460</v>
      </c>
      <c r="C28" s="46">
        <f t="shared" si="1"/>
        <v>1640</v>
      </c>
      <c r="D28" s="56">
        <f t="shared" ref="D28:D44" si="15">D27-K28</f>
        <v>971.3</v>
      </c>
      <c r="E28" s="46">
        <f t="shared" si="14"/>
        <v>150</v>
      </c>
      <c r="F28" s="46">
        <f t="shared" si="11"/>
        <v>-660</v>
      </c>
      <c r="G28" s="56">
        <f t="shared" ref="G28:G44" si="16">G27-N28</f>
        <v>298.7</v>
      </c>
      <c r="H28" s="46">
        <f>H27-O28</f>
        <v>-540</v>
      </c>
      <c r="I28" s="46">
        <f t="shared" si="13"/>
        <v>800</v>
      </c>
      <c r="J28" s="46">
        <f t="shared" si="12"/>
        <v>620</v>
      </c>
      <c r="K28" s="46"/>
      <c r="L28" s="46"/>
      <c r="M28" s="46"/>
      <c r="N28" s="46"/>
      <c r="O28" s="46"/>
      <c r="P28" s="46"/>
      <c r="Q28" s="46"/>
      <c r="R28" s="46" t="s">
        <v>60</v>
      </c>
      <c r="S28" s="46"/>
      <c r="T28" s="46">
        <v>87</v>
      </c>
      <c r="U28" s="46">
        <v>0</v>
      </c>
      <c r="V28" s="63">
        <f>SUM(K28:Q28)</f>
        <v>0</v>
      </c>
      <c r="W28" s="106">
        <f>Summary!$C$20*K28+Summary!$C$21*L28+Summary!$C$22*M28+Summary!$C$23*N28+Summary!$C$24*O28+Summary!$C$25*P28+Summary!$C$26*Q28</f>
        <v>0</v>
      </c>
      <c r="X28" t="s">
        <v>72</v>
      </c>
      <c r="Y28">
        <v>87</v>
      </c>
      <c r="Z28">
        <v>87</v>
      </c>
      <c r="AF28" s="30"/>
      <c r="AG28" s="30"/>
      <c r="AH28" s="30"/>
      <c r="AI28" s="30"/>
      <c r="AJ28" s="30" t="s">
        <v>71</v>
      </c>
      <c r="AK28" s="30" t="s">
        <v>58</v>
      </c>
      <c r="AL28" s="30"/>
      <c r="AM28" s="29"/>
    </row>
    <row r="29" spans="1:39" x14ac:dyDescent="0.3">
      <c r="A29">
        <v>26</v>
      </c>
      <c r="B29" s="50">
        <f t="shared" si="0"/>
        <v>-460</v>
      </c>
      <c r="C29" s="46">
        <f t="shared" si="1"/>
        <v>1640</v>
      </c>
      <c r="D29" s="56">
        <f t="shared" si="15"/>
        <v>971.3</v>
      </c>
      <c r="E29" s="46">
        <f t="shared" si="14"/>
        <v>150</v>
      </c>
      <c r="F29" s="46">
        <f t="shared" si="11"/>
        <v>-660</v>
      </c>
      <c r="G29" s="56">
        <f t="shared" si="16"/>
        <v>298.7</v>
      </c>
      <c r="H29" s="46">
        <f>H28-O29</f>
        <v>-540</v>
      </c>
      <c r="I29" s="46">
        <f t="shared" si="13"/>
        <v>800</v>
      </c>
      <c r="J29" s="46">
        <f t="shared" si="12"/>
        <v>620</v>
      </c>
      <c r="K29" s="46"/>
      <c r="L29" s="46"/>
      <c r="M29" s="46"/>
      <c r="N29" s="46"/>
      <c r="O29" s="46"/>
      <c r="P29" s="46"/>
      <c r="Q29" s="46"/>
      <c r="R29" s="46" t="s">
        <v>60</v>
      </c>
      <c r="S29" s="46"/>
      <c r="T29" s="46">
        <v>12</v>
      </c>
      <c r="U29" s="46">
        <v>0</v>
      </c>
      <c r="V29" s="63">
        <f t="shared" si="3"/>
        <v>0</v>
      </c>
      <c r="W29" s="106">
        <f>Summary!$C$20*K29+Summary!$C$21*L29+Summary!$C$22*M29+Summary!$C$23*N29+Summary!$C$24*O29+Summary!$C$25*P29+Summary!$C$26*Q29</f>
        <v>0</v>
      </c>
      <c r="X29" t="s">
        <v>72</v>
      </c>
      <c r="Y29">
        <v>12</v>
      </c>
      <c r="Z29">
        <v>87</v>
      </c>
      <c r="AF29" s="30"/>
      <c r="AG29" s="30"/>
      <c r="AH29" s="30"/>
      <c r="AI29" s="30"/>
      <c r="AJ29" s="30" t="s">
        <v>71</v>
      </c>
      <c r="AK29" s="30" t="s">
        <v>58</v>
      </c>
      <c r="AL29" s="30"/>
      <c r="AM29" s="29"/>
    </row>
    <row r="30" spans="1:39" x14ac:dyDescent="0.3">
      <c r="A30">
        <v>27</v>
      </c>
      <c r="B30" s="50">
        <f t="shared" si="0"/>
        <v>-460</v>
      </c>
      <c r="C30" s="46">
        <f t="shared" si="1"/>
        <v>1640</v>
      </c>
      <c r="D30" s="56">
        <f t="shared" si="15"/>
        <v>971.3</v>
      </c>
      <c r="E30" s="46">
        <f t="shared" si="14"/>
        <v>150</v>
      </c>
      <c r="F30" s="46">
        <f t="shared" si="11"/>
        <v>-660</v>
      </c>
      <c r="G30" s="56">
        <f t="shared" si="16"/>
        <v>298.7</v>
      </c>
      <c r="H30" s="46">
        <f>H29-O30</f>
        <v>-540</v>
      </c>
      <c r="I30" s="46">
        <f t="shared" si="13"/>
        <v>800</v>
      </c>
      <c r="J30" s="46">
        <f t="shared" si="12"/>
        <v>620</v>
      </c>
      <c r="K30" s="46"/>
      <c r="L30" s="46"/>
      <c r="M30" s="46"/>
      <c r="N30" s="46"/>
      <c r="O30" s="46"/>
      <c r="P30" s="46"/>
      <c r="Q30" s="46"/>
      <c r="R30" s="46" t="s">
        <v>54</v>
      </c>
      <c r="S30" s="46"/>
      <c r="T30" s="46">
        <v>95</v>
      </c>
      <c r="U30" s="46">
        <v>0</v>
      </c>
      <c r="V30" s="63">
        <f t="shared" si="3"/>
        <v>0</v>
      </c>
      <c r="W30" s="106">
        <f>Summary!$C$20*K30+Summary!$C$21*L30+Summary!$C$22*M30+Summary!$C$23*N30+Summary!$C$24*O30+Summary!$C$25*P30+Summary!$C$26*Q30</f>
        <v>0</v>
      </c>
      <c r="X30" t="s">
        <v>72</v>
      </c>
      <c r="Y30">
        <v>95</v>
      </c>
      <c r="Z30">
        <v>95</v>
      </c>
      <c r="AF30" s="30"/>
      <c r="AG30" s="30"/>
      <c r="AH30" s="30"/>
      <c r="AI30" s="30"/>
      <c r="AJ30" s="30" t="s">
        <v>71</v>
      </c>
      <c r="AK30" s="30" t="s">
        <v>58</v>
      </c>
      <c r="AL30" s="30"/>
      <c r="AM30" s="29"/>
    </row>
    <row r="31" spans="1:39" x14ac:dyDescent="0.3">
      <c r="A31">
        <v>28</v>
      </c>
      <c r="B31" s="50">
        <f t="shared" si="0"/>
        <v>-460</v>
      </c>
      <c r="C31" s="46">
        <f t="shared" si="1"/>
        <v>1640</v>
      </c>
      <c r="D31" s="55">
        <f t="shared" si="15"/>
        <v>971.3</v>
      </c>
      <c r="E31" s="46">
        <f t="shared" si="14"/>
        <v>150</v>
      </c>
      <c r="F31" s="46">
        <f t="shared" si="11"/>
        <v>-660</v>
      </c>
      <c r="G31" s="55">
        <f t="shared" si="16"/>
        <v>298.7</v>
      </c>
      <c r="H31" s="46">
        <f>H30-O31</f>
        <v>-540</v>
      </c>
      <c r="I31" s="46">
        <f t="shared" si="13"/>
        <v>800</v>
      </c>
      <c r="J31" s="46">
        <f t="shared" si="12"/>
        <v>620</v>
      </c>
      <c r="K31" s="73"/>
      <c r="L31" s="46"/>
      <c r="M31" s="46"/>
      <c r="N31" s="73"/>
      <c r="O31" s="46"/>
      <c r="P31" s="73"/>
      <c r="Q31" s="46"/>
      <c r="R31" s="46" t="s">
        <v>54</v>
      </c>
      <c r="S31" s="46"/>
      <c r="T31" s="46">
        <v>55</v>
      </c>
      <c r="U31" s="46">
        <v>0</v>
      </c>
      <c r="V31" s="63">
        <f t="shared" si="3"/>
        <v>0</v>
      </c>
      <c r="W31" s="106">
        <f>Summary!$C$20*K31+Summary!$C$21*L31+Summary!$C$22*M31+Summary!$C$23*N31+Summary!$C$24*O31+Summary!$C$25*P31+Summary!$C$26*Q31</f>
        <v>0</v>
      </c>
      <c r="X31" t="s">
        <v>72</v>
      </c>
      <c r="Y31">
        <v>55</v>
      </c>
      <c r="Z31">
        <v>95</v>
      </c>
      <c r="AF31" s="30"/>
      <c r="AG31" s="30"/>
      <c r="AH31" s="30"/>
      <c r="AI31" s="30"/>
      <c r="AJ31" s="30" t="s">
        <v>84</v>
      </c>
      <c r="AK31" s="30" t="s">
        <v>63</v>
      </c>
      <c r="AL31" s="30"/>
      <c r="AM31" s="29"/>
    </row>
    <row r="32" spans="1:39" x14ac:dyDescent="0.3">
      <c r="A32">
        <v>29</v>
      </c>
      <c r="B32" s="50">
        <f t="shared" si="0"/>
        <v>-990</v>
      </c>
      <c r="C32" s="46">
        <f t="shared" si="1"/>
        <v>2170</v>
      </c>
      <c r="D32" s="46">
        <f t="shared" si="15"/>
        <v>971.3</v>
      </c>
      <c r="E32" s="46">
        <f t="shared" si="14"/>
        <v>150</v>
      </c>
      <c r="F32" s="46">
        <f t="shared" si="11"/>
        <v>-660</v>
      </c>
      <c r="G32" s="46">
        <f t="shared" si="16"/>
        <v>298.7</v>
      </c>
      <c r="H32" s="56">
        <f>H31-O32+150</f>
        <v>-390</v>
      </c>
      <c r="I32" s="56">
        <f>I31-P32+100</f>
        <v>900</v>
      </c>
      <c r="J32" s="56">
        <f>J31-Q32+280</f>
        <v>900</v>
      </c>
      <c r="K32" s="46"/>
      <c r="L32" s="46"/>
      <c r="M32" s="46"/>
      <c r="N32" s="46"/>
      <c r="O32" s="46"/>
      <c r="P32" s="46"/>
      <c r="Q32" s="46"/>
      <c r="R32" s="46" t="s">
        <v>75</v>
      </c>
      <c r="S32" s="46"/>
      <c r="T32" s="46">
        <v>95</v>
      </c>
      <c r="U32" s="46">
        <v>0</v>
      </c>
      <c r="V32" s="63">
        <f t="shared" si="3"/>
        <v>0</v>
      </c>
      <c r="W32" s="106">
        <f>Summary!$C$20*K32+Summary!$C$21*L32+Summary!$C$22*M32+Summary!$C$23*N32+Summary!$C$24*O32+Summary!$C$25*P32+Summary!$C$26*Q32</f>
        <v>0</v>
      </c>
      <c r="X32" t="s">
        <v>72</v>
      </c>
      <c r="Y32">
        <v>95</v>
      </c>
      <c r="Z32">
        <v>95</v>
      </c>
      <c r="AF32" s="30"/>
      <c r="AG32" s="30"/>
      <c r="AH32" s="30"/>
      <c r="AI32" s="30"/>
      <c r="AK32" s="30" t="s">
        <v>63</v>
      </c>
      <c r="AL32" s="30"/>
      <c r="AM32" s="29"/>
    </row>
    <row r="33" spans="1:39" x14ac:dyDescent="0.3">
      <c r="A33">
        <v>30</v>
      </c>
      <c r="B33" s="50">
        <f t="shared" si="0"/>
        <v>-990</v>
      </c>
      <c r="C33" s="46">
        <f t="shared" si="1"/>
        <v>2170</v>
      </c>
      <c r="D33" s="46">
        <f t="shared" si="15"/>
        <v>971.3</v>
      </c>
      <c r="E33" s="46">
        <f t="shared" si="14"/>
        <v>150</v>
      </c>
      <c r="F33" s="46">
        <f t="shared" si="11"/>
        <v>-660</v>
      </c>
      <c r="G33" s="46">
        <f t="shared" si="16"/>
        <v>298.7</v>
      </c>
      <c r="H33" s="56">
        <f t="shared" ref="H33:H44" si="17">H32-O33</f>
        <v>-390</v>
      </c>
      <c r="I33" s="56">
        <f t="shared" ref="I33:I44" si="18">I32-P33</f>
        <v>900</v>
      </c>
      <c r="J33" s="56">
        <f t="shared" ref="J33:J44" si="19">J32-Q33</f>
        <v>900</v>
      </c>
      <c r="K33" s="46"/>
      <c r="L33" s="46"/>
      <c r="M33" s="46"/>
      <c r="N33" s="46"/>
      <c r="O33" s="46"/>
      <c r="P33" s="46"/>
      <c r="Q33" s="46"/>
      <c r="R33" s="46" t="s">
        <v>75</v>
      </c>
      <c r="S33" s="46"/>
      <c r="T33" s="46">
        <v>95</v>
      </c>
      <c r="U33" s="46">
        <v>0</v>
      </c>
      <c r="V33" s="63">
        <f t="shared" si="3"/>
        <v>0</v>
      </c>
      <c r="W33" s="106">
        <f>Summary!$C$20*K33+Summary!$C$21*L33+Summary!$C$22*M33+Summary!$C$23*N33+Summary!$C$24*O33+Summary!$C$25*P33+Summary!$C$26*Q33</f>
        <v>0</v>
      </c>
      <c r="X33" t="s">
        <v>72</v>
      </c>
      <c r="Y33">
        <v>95</v>
      </c>
      <c r="Z33">
        <v>95</v>
      </c>
      <c r="AF33" s="30"/>
      <c r="AG33" s="30"/>
      <c r="AH33" s="30"/>
      <c r="AI33" s="30"/>
      <c r="AJ33" s="30"/>
      <c r="AK33" s="30" t="s">
        <v>71</v>
      </c>
      <c r="AL33" s="30"/>
      <c r="AM33" s="29"/>
    </row>
    <row r="34" spans="1:39" x14ac:dyDescent="0.3">
      <c r="A34">
        <v>31</v>
      </c>
      <c r="B34" s="50">
        <f t="shared" si="0"/>
        <v>-990</v>
      </c>
      <c r="C34" s="46">
        <f t="shared" si="1"/>
        <v>2170</v>
      </c>
      <c r="D34" s="46">
        <f t="shared" si="15"/>
        <v>971.3</v>
      </c>
      <c r="E34" s="46">
        <f t="shared" si="14"/>
        <v>150</v>
      </c>
      <c r="F34" s="46">
        <f t="shared" si="11"/>
        <v>-660</v>
      </c>
      <c r="G34" s="46">
        <f t="shared" si="16"/>
        <v>298.7</v>
      </c>
      <c r="H34" s="56">
        <f t="shared" si="17"/>
        <v>-390</v>
      </c>
      <c r="I34" s="56">
        <f t="shared" si="18"/>
        <v>900</v>
      </c>
      <c r="J34" s="56">
        <f t="shared" si="19"/>
        <v>900</v>
      </c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63">
        <f t="shared" si="3"/>
        <v>0</v>
      </c>
      <c r="W34" s="106">
        <f>Summary!$C$20*K34+Summary!$C$21*L34+Summary!$C$22*M34+Summary!$C$23*N34+Summary!$C$24*O34+Summary!$C$25*P34+Summary!$C$26*Q34</f>
        <v>0</v>
      </c>
      <c r="AF34" s="30"/>
      <c r="AG34" s="30"/>
      <c r="AH34" s="30"/>
      <c r="AI34" s="30"/>
      <c r="AJ34" s="30"/>
      <c r="AK34" s="30" t="s">
        <v>71</v>
      </c>
      <c r="AL34" s="30"/>
      <c r="AM34" s="29"/>
    </row>
    <row r="35" spans="1:39" x14ac:dyDescent="0.3">
      <c r="A35">
        <v>32</v>
      </c>
      <c r="B35" s="50">
        <f t="shared" si="0"/>
        <v>-990</v>
      </c>
      <c r="C35" s="46">
        <f t="shared" si="1"/>
        <v>2170</v>
      </c>
      <c r="D35" s="46">
        <f t="shared" si="15"/>
        <v>971.3</v>
      </c>
      <c r="E35" s="46">
        <f t="shared" si="14"/>
        <v>150</v>
      </c>
      <c r="F35" s="46">
        <f t="shared" si="11"/>
        <v>-660</v>
      </c>
      <c r="G35" s="46">
        <f t="shared" si="16"/>
        <v>298.7</v>
      </c>
      <c r="H35" s="56">
        <f t="shared" si="17"/>
        <v>-390</v>
      </c>
      <c r="I35" s="56">
        <f t="shared" si="18"/>
        <v>900</v>
      </c>
      <c r="J35" s="56">
        <f t="shared" si="19"/>
        <v>900</v>
      </c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63">
        <f t="shared" si="3"/>
        <v>0</v>
      </c>
      <c r="W35" s="106">
        <f>Summary!$C$20*K35+Summary!$C$21*L35+Summary!$C$22*M35+Summary!$C$23*N35+Summary!$C$24*O35+Summary!$C$25*P35+Summary!$C$26*Q35</f>
        <v>0</v>
      </c>
      <c r="AF35" s="30"/>
      <c r="AG35" s="30"/>
      <c r="AH35" s="30"/>
      <c r="AI35" s="30"/>
      <c r="AJ35" s="30"/>
      <c r="AK35" s="30" t="s">
        <v>71</v>
      </c>
      <c r="AL35" s="30"/>
      <c r="AM35" s="29"/>
    </row>
    <row r="36" spans="1:39" x14ac:dyDescent="0.3">
      <c r="A36">
        <v>33</v>
      </c>
      <c r="B36" s="50">
        <f t="shared" si="0"/>
        <v>-990</v>
      </c>
      <c r="C36" s="46">
        <f t="shared" si="1"/>
        <v>2170</v>
      </c>
      <c r="D36" s="46">
        <f t="shared" si="15"/>
        <v>971.3</v>
      </c>
      <c r="E36" s="46">
        <f t="shared" si="14"/>
        <v>150</v>
      </c>
      <c r="F36" s="46">
        <f t="shared" si="11"/>
        <v>-660</v>
      </c>
      <c r="G36" s="46">
        <f t="shared" si="16"/>
        <v>298.7</v>
      </c>
      <c r="H36" s="55">
        <f t="shared" si="17"/>
        <v>-390</v>
      </c>
      <c r="I36" s="55">
        <f t="shared" si="18"/>
        <v>900</v>
      </c>
      <c r="J36" s="55">
        <f t="shared" si="19"/>
        <v>900</v>
      </c>
      <c r="K36" s="73"/>
      <c r="L36" s="46"/>
      <c r="M36" s="46"/>
      <c r="N36" s="46"/>
      <c r="O36" s="46"/>
      <c r="P36" s="46"/>
      <c r="Q36" s="73"/>
      <c r="R36" s="46"/>
      <c r="S36" s="46"/>
      <c r="T36" s="46"/>
      <c r="U36" s="46"/>
      <c r="V36" s="74">
        <f t="shared" si="3"/>
        <v>0</v>
      </c>
      <c r="W36" s="106">
        <f>Summary!$C$20*K36+Summary!$C$21*L36+Summary!$C$22*M36+Summary!$C$23*N36+Summary!$C$24*O36+Summary!$C$25*P36+Summary!$C$26*Q36</f>
        <v>0</v>
      </c>
      <c r="AF36" s="30"/>
      <c r="AG36" s="30"/>
      <c r="AH36" s="30"/>
      <c r="AI36" s="30"/>
      <c r="AJ36" s="30"/>
      <c r="AK36" s="30" t="s">
        <v>85</v>
      </c>
      <c r="AL36" s="30"/>
      <c r="AM36" s="29"/>
    </row>
    <row r="37" spans="1:39" x14ac:dyDescent="0.3">
      <c r="A37">
        <v>34</v>
      </c>
      <c r="B37" s="50">
        <f t="shared" si="0"/>
        <v>-990</v>
      </c>
      <c r="C37" s="46">
        <f t="shared" si="1"/>
        <v>2170</v>
      </c>
      <c r="D37" s="46">
        <f t="shared" si="15"/>
        <v>971.3</v>
      </c>
      <c r="E37" s="46">
        <f t="shared" si="14"/>
        <v>150</v>
      </c>
      <c r="F37" s="46">
        <f t="shared" si="11"/>
        <v>-660</v>
      </c>
      <c r="G37" s="46">
        <f t="shared" si="16"/>
        <v>298.7</v>
      </c>
      <c r="H37" s="46">
        <f t="shared" si="17"/>
        <v>-390</v>
      </c>
      <c r="I37" s="46">
        <f t="shared" si="18"/>
        <v>900</v>
      </c>
      <c r="J37" s="46">
        <f t="shared" si="19"/>
        <v>900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63">
        <f t="shared" si="3"/>
        <v>0</v>
      </c>
      <c r="W37" s="106">
        <f>Summary!$C$20*K37+Summary!$C$21*L37+Summary!$C$22*M37+Summary!$C$23*N37+Summary!$C$24*O37+Summary!$C$25*P37+Summary!$C$26*Q37</f>
        <v>0</v>
      </c>
      <c r="AF37" s="30"/>
      <c r="AG37" s="30"/>
      <c r="AH37" s="30"/>
      <c r="AI37" s="30"/>
      <c r="AJ37" s="30"/>
      <c r="AL37" s="30"/>
      <c r="AM37" s="29"/>
    </row>
    <row r="38" spans="1:39" x14ac:dyDescent="0.3">
      <c r="A38">
        <v>35</v>
      </c>
      <c r="B38" s="50">
        <f t="shared" si="0"/>
        <v>-990</v>
      </c>
      <c r="C38" s="46">
        <f t="shared" si="1"/>
        <v>2170</v>
      </c>
      <c r="D38" s="46">
        <f t="shared" si="15"/>
        <v>971.3</v>
      </c>
      <c r="E38" s="46">
        <f t="shared" si="14"/>
        <v>150</v>
      </c>
      <c r="F38" s="46">
        <f t="shared" si="11"/>
        <v>-660</v>
      </c>
      <c r="G38" s="46">
        <f t="shared" si="16"/>
        <v>298.7</v>
      </c>
      <c r="H38" s="46">
        <f t="shared" si="17"/>
        <v>-390</v>
      </c>
      <c r="I38" s="46">
        <f t="shared" si="18"/>
        <v>900</v>
      </c>
      <c r="J38" s="46">
        <f t="shared" si="19"/>
        <v>900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63">
        <f t="shared" si="3"/>
        <v>0</v>
      </c>
      <c r="W38" s="106">
        <f>Summary!$C$20*K38+Summary!$C$21*L38+Summary!$C$22*M38+Summary!$C$23*N38+Summary!$C$24*O38+Summary!$C$25*P38+Summary!$C$26*Q38</f>
        <v>0</v>
      </c>
    </row>
    <row r="39" spans="1:39" x14ac:dyDescent="0.3">
      <c r="A39">
        <v>36</v>
      </c>
      <c r="B39" s="50">
        <f t="shared" si="0"/>
        <v>-990</v>
      </c>
      <c r="C39" s="46">
        <f t="shared" si="1"/>
        <v>2170</v>
      </c>
      <c r="D39" s="46">
        <f t="shared" si="15"/>
        <v>971.3</v>
      </c>
      <c r="E39" s="46">
        <f t="shared" si="14"/>
        <v>150</v>
      </c>
      <c r="F39" s="46">
        <f t="shared" si="11"/>
        <v>-660</v>
      </c>
      <c r="G39" s="46">
        <f t="shared" si="16"/>
        <v>298.7</v>
      </c>
      <c r="H39" s="46">
        <f t="shared" si="17"/>
        <v>-390</v>
      </c>
      <c r="I39" s="46">
        <f t="shared" si="18"/>
        <v>900</v>
      </c>
      <c r="J39" s="46">
        <f t="shared" si="19"/>
        <v>900</v>
      </c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63">
        <f t="shared" si="3"/>
        <v>0</v>
      </c>
      <c r="W39" s="106">
        <f>Summary!$C$20*K39+Summary!$C$21*L39+Summary!$C$22*M39+Summary!$C$23*N39+Summary!$C$24*O39+Summary!$C$25*P39+Summary!$C$26*Q39</f>
        <v>0</v>
      </c>
    </row>
    <row r="40" spans="1:39" x14ac:dyDescent="0.3">
      <c r="A40">
        <v>37</v>
      </c>
      <c r="B40" s="50">
        <f t="shared" si="0"/>
        <v>-894.89256639029099</v>
      </c>
      <c r="C40" s="46">
        <f t="shared" si="1"/>
        <v>2074.892566390291</v>
      </c>
      <c r="D40" s="46">
        <f t="shared" si="15"/>
        <v>971.3</v>
      </c>
      <c r="E40" s="46">
        <f t="shared" si="14"/>
        <v>150</v>
      </c>
      <c r="F40" s="46">
        <f t="shared" si="11"/>
        <v>-666.18817591925017</v>
      </c>
      <c r="G40" s="46">
        <f t="shared" si="16"/>
        <v>298.7</v>
      </c>
      <c r="H40" s="46">
        <f t="shared" si="17"/>
        <v>-394.1254506128335</v>
      </c>
      <c r="I40" s="46">
        <f t="shared" si="18"/>
        <v>815.2061929223745</v>
      </c>
      <c r="J40" s="46">
        <f t="shared" si="19"/>
        <v>900</v>
      </c>
      <c r="K40" s="46">
        <v>0</v>
      </c>
      <c r="L40" s="46">
        <v>0</v>
      </c>
      <c r="M40" s="73">
        <f>(24-P40/95*24)*96/24*0.6</f>
        <v>6.188175919250221</v>
      </c>
      <c r="N40" s="46">
        <v>0</v>
      </c>
      <c r="O40" s="73">
        <f>M40/0.6*0.4</f>
        <v>4.1254506128334816</v>
      </c>
      <c r="P40" s="46">
        <v>84.793807077625502</v>
      </c>
      <c r="Q40" s="46">
        <v>0</v>
      </c>
      <c r="R40" s="46"/>
      <c r="S40" s="46"/>
      <c r="T40" s="46"/>
      <c r="U40" s="46"/>
      <c r="V40" s="63">
        <f t="shared" si="3"/>
        <v>95.107433609709204</v>
      </c>
      <c r="W40" s="106">
        <f>Summary!$C$20*K40+Summary!$C$21*L40+Summary!$C$22*M40+Summary!$C$23*N40+Summary!$C$24*O40+Summary!$C$25*P40+Summary!$C$26*Q40</f>
        <v>989.62223068373009</v>
      </c>
    </row>
    <row r="41" spans="1:39" x14ac:dyDescent="0.3">
      <c r="A41">
        <v>38</v>
      </c>
      <c r="B41" s="50">
        <f t="shared" si="0"/>
        <v>-798.89256639029054</v>
      </c>
      <c r="C41" s="46">
        <f t="shared" si="1"/>
        <v>1978.8925663902905</v>
      </c>
      <c r="D41" s="46">
        <f t="shared" si="15"/>
        <v>971.3</v>
      </c>
      <c r="E41" s="46">
        <f t="shared" si="14"/>
        <v>150</v>
      </c>
      <c r="F41" s="46">
        <f t="shared" si="11"/>
        <v>-723.78817591925019</v>
      </c>
      <c r="G41" s="46">
        <f t="shared" si="16"/>
        <v>298.7</v>
      </c>
      <c r="H41" s="46">
        <f t="shared" si="17"/>
        <v>-432.52545061283354</v>
      </c>
      <c r="I41" s="46">
        <f t="shared" si="18"/>
        <v>815.2061929223745</v>
      </c>
      <c r="J41" s="46">
        <f t="shared" si="19"/>
        <v>900</v>
      </c>
      <c r="K41" s="46">
        <v>0</v>
      </c>
      <c r="L41" s="46">
        <v>0</v>
      </c>
      <c r="M41" s="73">
        <f>96*0.6</f>
        <v>57.599999999999994</v>
      </c>
      <c r="N41" s="46">
        <v>0</v>
      </c>
      <c r="O41" s="73">
        <f>96*0.4</f>
        <v>38.400000000000006</v>
      </c>
      <c r="P41" s="46">
        <v>0</v>
      </c>
      <c r="Q41" s="46">
        <v>0</v>
      </c>
      <c r="R41" s="46"/>
      <c r="S41" s="46"/>
      <c r="T41" s="46"/>
      <c r="U41" s="46"/>
      <c r="V41" s="74">
        <f t="shared" si="3"/>
        <v>96</v>
      </c>
      <c r="W41" s="106">
        <f>Summary!$C$20*K41+Summary!$C$21*L41+Summary!$C$22*M41+Summary!$C$23*N41+Summary!$C$24*O41+Summary!$C$25*P41+Summary!$C$26*Q41</f>
        <v>1334.5920000000001</v>
      </c>
    </row>
    <row r="42" spans="1:39" x14ac:dyDescent="0.3">
      <c r="A42">
        <v>39</v>
      </c>
      <c r="B42" s="50">
        <f t="shared" si="0"/>
        <v>-702.89256639029077</v>
      </c>
      <c r="C42" s="46">
        <f t="shared" si="1"/>
        <v>1882.8925663902908</v>
      </c>
      <c r="D42" s="46">
        <f t="shared" si="15"/>
        <v>971.3</v>
      </c>
      <c r="E42" s="46">
        <f t="shared" si="14"/>
        <v>150</v>
      </c>
      <c r="F42" s="46">
        <f t="shared" si="11"/>
        <v>-781.38817591925022</v>
      </c>
      <c r="G42" s="46">
        <f t="shared" si="16"/>
        <v>298.7</v>
      </c>
      <c r="H42" s="46">
        <f t="shared" si="17"/>
        <v>-470.92545061283352</v>
      </c>
      <c r="I42" s="46">
        <f t="shared" si="18"/>
        <v>815.2061929223745</v>
      </c>
      <c r="J42" s="46">
        <f t="shared" si="19"/>
        <v>900</v>
      </c>
      <c r="K42" s="46">
        <v>0</v>
      </c>
      <c r="L42" s="46">
        <v>0</v>
      </c>
      <c r="M42" s="73">
        <f>96*0.6</f>
        <v>57.599999999999994</v>
      </c>
      <c r="N42" s="46">
        <v>0</v>
      </c>
      <c r="O42" s="73">
        <f>96*0.4</f>
        <v>38.400000000000006</v>
      </c>
      <c r="P42" s="46">
        <v>0</v>
      </c>
      <c r="Q42" s="46">
        <v>0</v>
      </c>
      <c r="R42" s="46"/>
      <c r="S42" s="46"/>
      <c r="T42" s="46"/>
      <c r="U42" s="46"/>
      <c r="V42" s="74">
        <f t="shared" si="3"/>
        <v>96</v>
      </c>
      <c r="W42" s="106">
        <f>Summary!$C$20*K42+Summary!$C$21*L42+Summary!$C$22*M42+Summary!$C$23*N42+Summary!$C$24*O42+Summary!$C$25*P42+Summary!$C$26*Q42</f>
        <v>1334.5920000000001</v>
      </c>
    </row>
    <row r="43" spans="1:39" x14ac:dyDescent="0.3">
      <c r="A43">
        <v>40</v>
      </c>
      <c r="B43" s="50">
        <f t="shared" si="0"/>
        <v>-606.89256639029054</v>
      </c>
      <c r="C43" s="46">
        <f t="shared" si="1"/>
        <v>1786.8925663902905</v>
      </c>
      <c r="D43" s="46">
        <f t="shared" si="15"/>
        <v>971.3</v>
      </c>
      <c r="E43" s="46">
        <f t="shared" si="14"/>
        <v>150</v>
      </c>
      <c r="F43" s="46">
        <f t="shared" si="11"/>
        <v>-838.98817591925024</v>
      </c>
      <c r="G43" s="46">
        <f t="shared" si="16"/>
        <v>298.7</v>
      </c>
      <c r="H43" s="46">
        <f t="shared" si="17"/>
        <v>-509.32545061283349</v>
      </c>
      <c r="I43" s="46">
        <f t="shared" si="18"/>
        <v>815.2061929223745</v>
      </c>
      <c r="J43" s="46">
        <f t="shared" si="19"/>
        <v>900</v>
      </c>
      <c r="K43" s="46">
        <v>0</v>
      </c>
      <c r="L43" s="46">
        <v>0</v>
      </c>
      <c r="M43" s="73">
        <f>96*0.6</f>
        <v>57.599999999999994</v>
      </c>
      <c r="N43" s="46">
        <v>0</v>
      </c>
      <c r="O43" s="73">
        <f>96*0.4</f>
        <v>38.400000000000006</v>
      </c>
      <c r="P43" s="46">
        <v>0</v>
      </c>
      <c r="Q43" s="46">
        <v>0</v>
      </c>
      <c r="R43" s="46"/>
      <c r="S43" s="46"/>
      <c r="T43" s="46"/>
      <c r="U43" s="46"/>
      <c r="V43" s="74">
        <f t="shared" si="3"/>
        <v>96</v>
      </c>
      <c r="W43" s="106">
        <f>Summary!$C$20*K43+Summary!$C$21*L43+Summary!$C$22*M43+Summary!$C$23*N43+Summary!$C$24*O43+Summary!$C$25*P43+Summary!$C$26*Q43</f>
        <v>1334.5920000000001</v>
      </c>
    </row>
    <row r="44" spans="1:39" x14ac:dyDescent="0.3">
      <c r="A44">
        <v>41</v>
      </c>
      <c r="B44" s="50">
        <f t="shared" si="0"/>
        <v>-606.89256639029054</v>
      </c>
      <c r="C44" s="46">
        <f t="shared" si="1"/>
        <v>1786.8925663902905</v>
      </c>
      <c r="D44" s="46">
        <f t="shared" si="15"/>
        <v>971.3</v>
      </c>
      <c r="E44" s="46">
        <f t="shared" si="14"/>
        <v>150</v>
      </c>
      <c r="F44" s="46">
        <f t="shared" si="11"/>
        <v>-838.98817591925024</v>
      </c>
      <c r="G44" s="46">
        <f t="shared" si="16"/>
        <v>298.7</v>
      </c>
      <c r="H44" s="46">
        <f t="shared" si="17"/>
        <v>-509.32545061283349</v>
      </c>
      <c r="I44" s="46">
        <f t="shared" si="18"/>
        <v>815.2061929223745</v>
      </c>
      <c r="J44" s="46">
        <f t="shared" si="19"/>
        <v>900</v>
      </c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</row>
    <row r="45" spans="1:39" x14ac:dyDescent="0.3">
      <c r="Q45" s="40" t="s">
        <v>86</v>
      </c>
      <c r="V45" s="64">
        <f>AVERAGE(V4:V33)</f>
        <v>59.666666666666664</v>
      </c>
      <c r="W45" s="108">
        <f t="shared" ref="W45" si="20">SUM(W4:W43)</f>
        <v>30422.005230683739</v>
      </c>
      <c r="AF45" t="s">
        <v>87</v>
      </c>
    </row>
    <row r="46" spans="1:39" x14ac:dyDescent="0.3">
      <c r="Q46" s="40" t="s">
        <v>88</v>
      </c>
      <c r="V46" s="64">
        <f>AVERAGE(V4:V43)</f>
        <v>54.327685840242722</v>
      </c>
      <c r="W46" s="46"/>
      <c r="AF46" t="s">
        <v>87</v>
      </c>
    </row>
    <row r="47" spans="1:39" x14ac:dyDescent="0.3">
      <c r="Q47" s="40"/>
      <c r="W47" s="64"/>
    </row>
    <row r="48" spans="1:39" x14ac:dyDescent="0.3">
      <c r="Q48" s="40" t="s">
        <v>89</v>
      </c>
      <c r="V48" s="15">
        <f>SUM(V4:V43)</f>
        <v>2173.107433609709</v>
      </c>
      <c r="W48" s="4"/>
      <c r="AF48" t="s">
        <v>90</v>
      </c>
    </row>
    <row r="49" spans="17:33" x14ac:dyDescent="0.3">
      <c r="Q49" s="40" t="s">
        <v>91</v>
      </c>
      <c r="V49">
        <f>C3</f>
        <v>1050</v>
      </c>
      <c r="AF49" t="s">
        <v>90</v>
      </c>
    </row>
    <row r="50" spans="17:33" x14ac:dyDescent="0.3">
      <c r="Q50" s="40" t="s">
        <v>92</v>
      </c>
      <c r="V50">
        <v>2910</v>
      </c>
      <c r="W50" s="15"/>
      <c r="AF50" t="s">
        <v>90</v>
      </c>
    </row>
    <row r="51" spans="17:33" x14ac:dyDescent="0.3">
      <c r="Q51" s="40" t="s">
        <v>93</v>
      </c>
      <c r="V51" s="4">
        <f>C44</f>
        <v>1786.8925663902905</v>
      </c>
      <c r="AF51" t="s">
        <v>90</v>
      </c>
      <c r="AG51" s="28">
        <f>V49+V50</f>
        <v>3960</v>
      </c>
    </row>
    <row r="52" spans="17:33" x14ac:dyDescent="0.3">
      <c r="Q52" s="40"/>
      <c r="AG52" s="38">
        <f>AG51-V48</f>
        <v>1786.892566390291</v>
      </c>
    </row>
    <row r="53" spans="17:33" x14ac:dyDescent="0.3">
      <c r="Q53" s="40" t="s">
        <v>94</v>
      </c>
      <c r="V53" s="15">
        <v>3</v>
      </c>
      <c r="W53" s="4"/>
      <c r="AF53" t="s">
        <v>95</v>
      </c>
    </row>
    <row r="55" spans="17:33" x14ac:dyDescent="0.3">
      <c r="W55" s="15"/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560C-A532-4DC4-883D-622C26F77DD8}">
  <dimension ref="A1:AL58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N7" sqref="N7"/>
    </sheetView>
  </sheetViews>
  <sheetFormatPr defaultRowHeight="14.4" x14ac:dyDescent="0.3"/>
  <cols>
    <col min="1" max="1" width="7.33203125" customWidth="1"/>
    <col min="2" max="2" width="8.33203125" customWidth="1"/>
    <col min="3" max="3" width="9.6640625" customWidth="1"/>
    <col min="4" max="11" width="11.109375" customWidth="1"/>
    <col min="12" max="17" width="9.33203125" customWidth="1"/>
    <col min="18" max="21" width="15.6640625" hidden="1" customWidth="1"/>
    <col min="22" max="22" width="12" customWidth="1"/>
    <col min="23" max="23" width="12.88671875" customWidth="1"/>
    <col min="24" max="26" width="15.6640625" hidden="1" customWidth="1"/>
    <col min="27" max="27" width="8.6640625" hidden="1" customWidth="1"/>
    <col min="28" max="31" width="9.109375" hidden="1" customWidth="1"/>
    <col min="32" max="37" width="16.33203125" style="30" customWidth="1"/>
    <col min="38" max="38" width="17.33203125" style="30" customWidth="1"/>
  </cols>
  <sheetData>
    <row r="1" spans="1:38" x14ac:dyDescent="0.3">
      <c r="B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38" s="42" customFormat="1" ht="28.8" x14ac:dyDescent="0.3">
      <c r="A2" s="7" t="s">
        <v>16</v>
      </c>
      <c r="B2" s="7" t="s">
        <v>17</v>
      </c>
      <c r="C2" s="7" t="s">
        <v>109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31</v>
      </c>
      <c r="Q2" s="7" t="s">
        <v>32</v>
      </c>
      <c r="R2" s="7" t="s">
        <v>33</v>
      </c>
      <c r="S2" s="7" t="s">
        <v>34</v>
      </c>
      <c r="T2" s="7" t="s">
        <v>35</v>
      </c>
      <c r="U2" s="7" t="s">
        <v>36</v>
      </c>
      <c r="V2" s="7" t="s">
        <v>37</v>
      </c>
      <c r="W2" s="7" t="s">
        <v>209</v>
      </c>
      <c r="X2" s="7" t="s">
        <v>38</v>
      </c>
      <c r="Y2" s="7" t="s">
        <v>39</v>
      </c>
      <c r="Z2" s="7" t="s">
        <v>40</v>
      </c>
      <c r="AA2" s="8" t="s">
        <v>41</v>
      </c>
      <c r="AB2" s="8" t="s">
        <v>42</v>
      </c>
      <c r="AC2" s="8" t="s">
        <v>43</v>
      </c>
      <c r="AD2" s="8" t="s">
        <v>44</v>
      </c>
      <c r="AE2" s="8" t="s">
        <v>45</v>
      </c>
      <c r="AF2" s="61" t="s">
        <v>46</v>
      </c>
      <c r="AG2" s="61" t="s">
        <v>47</v>
      </c>
      <c r="AH2" s="61" t="s">
        <v>48</v>
      </c>
      <c r="AI2" s="61" t="s">
        <v>49</v>
      </c>
      <c r="AJ2" s="61" t="s">
        <v>50</v>
      </c>
      <c r="AK2" s="61" t="s">
        <v>51</v>
      </c>
      <c r="AL2" s="61" t="s">
        <v>52</v>
      </c>
    </row>
    <row r="3" spans="1:38" x14ac:dyDescent="0.3">
      <c r="A3" s="41">
        <v>0</v>
      </c>
      <c r="B3" s="50">
        <f>1180-C3</f>
        <v>130</v>
      </c>
      <c r="C3" s="57">
        <f>SUM(D3:J3)</f>
        <v>1050</v>
      </c>
      <c r="D3" s="57">
        <v>350</v>
      </c>
      <c r="E3" s="57">
        <v>0</v>
      </c>
      <c r="F3" s="57">
        <v>150</v>
      </c>
      <c r="G3" s="57">
        <v>150</v>
      </c>
      <c r="H3" s="57">
        <v>100</v>
      </c>
      <c r="I3" s="57">
        <v>0</v>
      </c>
      <c r="J3" s="57">
        <v>300</v>
      </c>
      <c r="K3" s="57">
        <v>0</v>
      </c>
      <c r="L3" s="57">
        <v>0</v>
      </c>
      <c r="M3" s="57">
        <v>0</v>
      </c>
      <c r="N3" s="57">
        <v>0</v>
      </c>
      <c r="O3" s="57">
        <v>0</v>
      </c>
      <c r="P3" s="57">
        <v>0</v>
      </c>
      <c r="Q3" s="57">
        <v>0</v>
      </c>
      <c r="R3" s="57"/>
      <c r="S3" s="57"/>
      <c r="T3" s="57"/>
      <c r="U3" s="57"/>
      <c r="V3" s="57">
        <v>0</v>
      </c>
      <c r="W3" s="78"/>
      <c r="X3" s="5"/>
      <c r="Y3" s="5"/>
      <c r="Z3" s="5"/>
      <c r="AA3" s="5"/>
      <c r="AB3" s="5"/>
      <c r="AC3" s="5"/>
      <c r="AD3" s="5"/>
      <c r="AE3" s="5"/>
      <c r="AF3" s="54"/>
      <c r="AG3" s="54"/>
      <c r="AH3" s="54"/>
      <c r="AI3" s="54"/>
      <c r="AJ3" s="54"/>
      <c r="AK3" s="54"/>
      <c r="AL3" s="54"/>
    </row>
    <row r="4" spans="1:38" x14ac:dyDescent="0.3">
      <c r="A4">
        <v>1</v>
      </c>
      <c r="B4" s="50">
        <f t="shared" ref="B4:B43" si="0">1180-C4</f>
        <v>225</v>
      </c>
      <c r="C4" s="46">
        <f>SUM(D4:J4)</f>
        <v>955</v>
      </c>
      <c r="D4" s="46">
        <f>D3-K4</f>
        <v>280.64999999999998</v>
      </c>
      <c r="E4" s="46">
        <f t="shared" ref="E4:J19" si="1">E3-L4</f>
        <v>0</v>
      </c>
      <c r="F4" s="46">
        <f t="shared" si="1"/>
        <v>150</v>
      </c>
      <c r="G4" s="46">
        <f t="shared" si="1"/>
        <v>124.35</v>
      </c>
      <c r="H4" s="46">
        <f t="shared" si="1"/>
        <v>100</v>
      </c>
      <c r="I4" s="46">
        <f t="shared" si="1"/>
        <v>0</v>
      </c>
      <c r="J4" s="46">
        <f t="shared" si="1"/>
        <v>300</v>
      </c>
      <c r="K4" s="46">
        <f>95*0.73</f>
        <v>69.349999999999994</v>
      </c>
      <c r="L4" s="46">
        <v>0</v>
      </c>
      <c r="M4" s="46">
        <v>0</v>
      </c>
      <c r="N4" s="46">
        <f>95*0.27</f>
        <v>25.650000000000002</v>
      </c>
      <c r="O4" s="46">
        <v>0</v>
      </c>
      <c r="P4" s="46">
        <v>0</v>
      </c>
      <c r="Q4" s="46">
        <v>0</v>
      </c>
      <c r="R4" s="46" t="s">
        <v>53</v>
      </c>
      <c r="S4" s="46" t="s">
        <v>54</v>
      </c>
      <c r="T4" s="46">
        <v>57.599999999999987</v>
      </c>
      <c r="U4" s="46">
        <v>38.4</v>
      </c>
      <c r="V4" s="46">
        <f>SUM(K4:Q4)</f>
        <v>95</v>
      </c>
      <c r="W4" s="106">
        <f>Summary!$C$20*K4+Summary!$C$21*L4+Summary!$C$22*M4+Summary!$C$23*N4+Summary!$C$24*O4+Summary!$C$25*P4+Summary!$C$26*Q4</f>
        <v>1592.7035000000001</v>
      </c>
      <c r="X4" t="s">
        <v>55</v>
      </c>
      <c r="Y4">
        <v>96</v>
      </c>
      <c r="Z4">
        <v>96</v>
      </c>
      <c r="AG4" s="54"/>
      <c r="AH4" s="54"/>
      <c r="AI4" s="54"/>
      <c r="AJ4" s="54"/>
      <c r="AK4" s="54"/>
    </row>
    <row r="5" spans="1:38" x14ac:dyDescent="0.3">
      <c r="A5">
        <v>2</v>
      </c>
      <c r="B5" s="50">
        <f t="shared" si="0"/>
        <v>320</v>
      </c>
      <c r="C5" s="46">
        <f t="shared" ref="C5:C43" si="2">SUM(D5:J5)</f>
        <v>860</v>
      </c>
      <c r="D5" s="46">
        <f t="shared" ref="D5:J43" si="3">D4-K5</f>
        <v>211.29999999999998</v>
      </c>
      <c r="E5" s="46">
        <f t="shared" si="1"/>
        <v>0</v>
      </c>
      <c r="F5" s="46">
        <f t="shared" si="1"/>
        <v>150</v>
      </c>
      <c r="G5" s="46">
        <f t="shared" si="1"/>
        <v>98.699999999999989</v>
      </c>
      <c r="H5" s="46">
        <f t="shared" si="1"/>
        <v>100</v>
      </c>
      <c r="I5" s="46">
        <f t="shared" si="1"/>
        <v>0</v>
      </c>
      <c r="J5" s="46">
        <f t="shared" si="1"/>
        <v>300</v>
      </c>
      <c r="K5" s="46">
        <f t="shared" ref="K5:K8" si="4">95*0.73</f>
        <v>69.349999999999994</v>
      </c>
      <c r="L5" s="46">
        <v>0</v>
      </c>
      <c r="M5" s="46">
        <v>0</v>
      </c>
      <c r="N5" s="46">
        <f t="shared" ref="N5:N8" si="5">95*0.27</f>
        <v>25.650000000000002</v>
      </c>
      <c r="O5" s="46">
        <v>0</v>
      </c>
      <c r="P5" s="46">
        <v>0</v>
      </c>
      <c r="Q5" s="46">
        <v>0</v>
      </c>
      <c r="R5" s="46" t="s">
        <v>53</v>
      </c>
      <c r="S5" s="46" t="s">
        <v>54</v>
      </c>
      <c r="T5" s="46">
        <v>57.599999999999987</v>
      </c>
      <c r="U5" s="46">
        <v>38.4</v>
      </c>
      <c r="V5" s="46">
        <f t="shared" ref="V5:V43" si="6">SUM(K5:Q5)</f>
        <v>95</v>
      </c>
      <c r="W5" s="106">
        <f>Summary!$C$20*K5+Summary!$C$21*L5+Summary!$C$22*M5+Summary!$C$23*N5+Summary!$C$24*O5+Summary!$C$25*P5+Summary!$C$26*Q5</f>
        <v>1592.7035000000001</v>
      </c>
      <c r="X5" t="s">
        <v>55</v>
      </c>
      <c r="Y5">
        <v>96</v>
      </c>
      <c r="Z5">
        <v>96</v>
      </c>
      <c r="AF5" s="30" t="s">
        <v>56</v>
      </c>
      <c r="AG5" s="54"/>
      <c r="AH5" s="54"/>
      <c r="AI5" s="54"/>
      <c r="AJ5" s="54"/>
      <c r="AK5" s="54"/>
    </row>
    <row r="6" spans="1:38" x14ac:dyDescent="0.3">
      <c r="A6">
        <v>3</v>
      </c>
      <c r="B6" s="50">
        <f>1180-C6</f>
        <v>415</v>
      </c>
      <c r="C6" s="46">
        <f t="shared" si="2"/>
        <v>765</v>
      </c>
      <c r="D6" s="46">
        <f t="shared" si="3"/>
        <v>141.94999999999999</v>
      </c>
      <c r="E6" s="46">
        <f t="shared" si="1"/>
        <v>0</v>
      </c>
      <c r="F6" s="46">
        <f t="shared" si="1"/>
        <v>150</v>
      </c>
      <c r="G6" s="46">
        <f t="shared" si="1"/>
        <v>73.049999999999983</v>
      </c>
      <c r="H6" s="46">
        <f t="shared" si="1"/>
        <v>100</v>
      </c>
      <c r="I6" s="46">
        <f t="shared" si="1"/>
        <v>0</v>
      </c>
      <c r="J6" s="46">
        <f t="shared" si="1"/>
        <v>300</v>
      </c>
      <c r="K6" s="46">
        <f t="shared" si="4"/>
        <v>69.349999999999994</v>
      </c>
      <c r="L6" s="46">
        <v>0</v>
      </c>
      <c r="M6" s="46">
        <v>0</v>
      </c>
      <c r="N6" s="46">
        <f t="shared" si="5"/>
        <v>25.650000000000002</v>
      </c>
      <c r="O6" s="46">
        <v>0</v>
      </c>
      <c r="P6" s="46">
        <v>0</v>
      </c>
      <c r="Q6" s="46">
        <v>0</v>
      </c>
      <c r="R6" s="46" t="s">
        <v>53</v>
      </c>
      <c r="S6" s="46" t="s">
        <v>54</v>
      </c>
      <c r="T6" s="46">
        <v>34.799999999999997</v>
      </c>
      <c r="U6" s="46">
        <v>23.2</v>
      </c>
      <c r="V6" s="46">
        <f t="shared" si="6"/>
        <v>95</v>
      </c>
      <c r="W6" s="106">
        <f>Summary!$C$20*K6+Summary!$C$21*L6+Summary!$C$22*M6+Summary!$C$23*N6+Summary!$C$24*O6+Summary!$C$25*P6+Summary!$C$26*Q6</f>
        <v>1592.7035000000001</v>
      </c>
      <c r="X6" t="s">
        <v>55</v>
      </c>
      <c r="Y6">
        <v>58.000000000000007</v>
      </c>
      <c r="Z6">
        <v>96</v>
      </c>
      <c r="AF6" s="30" t="s">
        <v>58</v>
      </c>
      <c r="AG6" s="54"/>
      <c r="AH6" s="54"/>
      <c r="AI6" s="54"/>
      <c r="AJ6" s="54"/>
      <c r="AK6" s="54"/>
    </row>
    <row r="7" spans="1:38" x14ac:dyDescent="0.3">
      <c r="A7">
        <v>4</v>
      </c>
      <c r="B7" s="50">
        <f t="shared" si="0"/>
        <v>510</v>
      </c>
      <c r="C7" s="46">
        <f t="shared" si="2"/>
        <v>670</v>
      </c>
      <c r="D7" s="46">
        <f t="shared" si="3"/>
        <v>72.599999999999994</v>
      </c>
      <c r="E7" s="46">
        <f t="shared" si="1"/>
        <v>0</v>
      </c>
      <c r="F7" s="46">
        <f t="shared" si="1"/>
        <v>150</v>
      </c>
      <c r="G7" s="46">
        <f t="shared" si="1"/>
        <v>47.399999999999977</v>
      </c>
      <c r="H7" s="46">
        <f t="shared" si="1"/>
        <v>100</v>
      </c>
      <c r="I7" s="46">
        <f t="shared" si="1"/>
        <v>0</v>
      </c>
      <c r="J7" s="46">
        <f t="shared" si="1"/>
        <v>300</v>
      </c>
      <c r="K7" s="46">
        <f t="shared" si="4"/>
        <v>69.349999999999994</v>
      </c>
      <c r="L7" s="46">
        <v>0</v>
      </c>
      <c r="M7" s="46">
        <v>0</v>
      </c>
      <c r="N7" s="46">
        <f t="shared" si="5"/>
        <v>25.650000000000002</v>
      </c>
      <c r="O7" s="46">
        <v>0</v>
      </c>
      <c r="P7" s="46">
        <v>0</v>
      </c>
      <c r="Q7" s="46">
        <v>0</v>
      </c>
      <c r="R7" s="46" t="s">
        <v>59</v>
      </c>
      <c r="S7" s="46" t="s">
        <v>60</v>
      </c>
      <c r="T7" s="46">
        <v>25.65</v>
      </c>
      <c r="U7" s="46">
        <v>69.349999999999994</v>
      </c>
      <c r="V7" s="46">
        <f t="shared" si="6"/>
        <v>95</v>
      </c>
      <c r="W7" s="106">
        <f>Summary!$C$20*K7+Summary!$C$21*L7+Summary!$C$22*M7+Summary!$C$23*N7+Summary!$C$24*O7+Summary!$C$25*P7+Summary!$C$26*Q7</f>
        <v>1592.7035000000001</v>
      </c>
      <c r="X7" t="s">
        <v>61</v>
      </c>
      <c r="Y7">
        <v>95</v>
      </c>
      <c r="Z7">
        <v>95</v>
      </c>
      <c r="AF7" s="30" t="s">
        <v>58</v>
      </c>
      <c r="AG7" s="54"/>
      <c r="AH7" s="54"/>
      <c r="AI7" s="54"/>
      <c r="AJ7" s="54"/>
      <c r="AK7" s="54"/>
    </row>
    <row r="8" spans="1:38" ht="13.95" customHeight="1" x14ac:dyDescent="0.3">
      <c r="A8">
        <v>5</v>
      </c>
      <c r="B8" s="50">
        <f t="shared" si="0"/>
        <v>605</v>
      </c>
      <c r="C8" s="46">
        <f>SUM(D8:J8)</f>
        <v>575</v>
      </c>
      <c r="D8" s="46">
        <f t="shared" si="3"/>
        <v>3.25</v>
      </c>
      <c r="E8" s="46">
        <f t="shared" si="1"/>
        <v>0</v>
      </c>
      <c r="F8" s="46">
        <f t="shared" si="1"/>
        <v>150</v>
      </c>
      <c r="G8" s="46">
        <f t="shared" si="1"/>
        <v>21.749999999999975</v>
      </c>
      <c r="H8" s="46">
        <f t="shared" si="1"/>
        <v>100</v>
      </c>
      <c r="I8" s="46">
        <f t="shared" si="1"/>
        <v>0</v>
      </c>
      <c r="J8" s="46">
        <f t="shared" si="1"/>
        <v>300</v>
      </c>
      <c r="K8" s="46">
        <f t="shared" si="4"/>
        <v>69.349999999999994</v>
      </c>
      <c r="L8" s="46">
        <v>0</v>
      </c>
      <c r="M8" s="46">
        <v>0</v>
      </c>
      <c r="N8" s="46">
        <f t="shared" si="5"/>
        <v>25.650000000000002</v>
      </c>
      <c r="O8" s="46">
        <v>0</v>
      </c>
      <c r="P8" s="46">
        <v>0</v>
      </c>
      <c r="Q8" s="46">
        <v>0</v>
      </c>
      <c r="R8" s="46" t="s">
        <v>62</v>
      </c>
      <c r="S8" s="46" t="s">
        <v>60</v>
      </c>
      <c r="T8" s="46">
        <v>25.92</v>
      </c>
      <c r="U8" s="46">
        <v>70.08</v>
      </c>
      <c r="V8" s="46">
        <f t="shared" si="6"/>
        <v>95</v>
      </c>
      <c r="W8" s="106">
        <f>Summary!$C$20*K8+Summary!$C$21*L8+Summary!$C$22*M8+Summary!$C$23*N8+Summary!$C$24*O8+Summary!$C$25*P8+Summary!$C$26*Q8</f>
        <v>1592.7035000000001</v>
      </c>
      <c r="X8" t="s">
        <v>61</v>
      </c>
      <c r="Y8">
        <v>96</v>
      </c>
      <c r="Z8">
        <v>96</v>
      </c>
      <c r="AF8" s="30" t="s">
        <v>63</v>
      </c>
      <c r="AG8" s="54" t="s">
        <v>64</v>
      </c>
      <c r="AH8" s="54"/>
      <c r="AI8" s="54"/>
      <c r="AJ8" s="54"/>
      <c r="AK8" s="54"/>
    </row>
    <row r="9" spans="1:38" x14ac:dyDescent="0.3">
      <c r="A9">
        <v>6</v>
      </c>
      <c r="B9" s="50">
        <f t="shared" si="0"/>
        <v>300</v>
      </c>
      <c r="C9" s="46">
        <f t="shared" si="2"/>
        <v>880</v>
      </c>
      <c r="D9" s="56">
        <f>D8-K9+400</f>
        <v>403.25</v>
      </c>
      <c r="E9" s="46">
        <f t="shared" si="1"/>
        <v>0</v>
      </c>
      <c r="F9" s="46">
        <f t="shared" si="1"/>
        <v>150</v>
      </c>
      <c r="G9" s="46">
        <f t="shared" si="1"/>
        <v>21.749999999999975</v>
      </c>
      <c r="H9" s="46">
        <f t="shared" si="1"/>
        <v>100</v>
      </c>
      <c r="I9" s="46">
        <f t="shared" si="1"/>
        <v>0</v>
      </c>
      <c r="J9" s="46">
        <f t="shared" si="1"/>
        <v>205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95</v>
      </c>
      <c r="R9" s="46" t="s">
        <v>62</v>
      </c>
      <c r="S9" s="46" t="s">
        <v>60</v>
      </c>
      <c r="T9" s="46">
        <v>25.92</v>
      </c>
      <c r="U9" s="46">
        <v>70.08</v>
      </c>
      <c r="V9" s="46">
        <f t="shared" si="6"/>
        <v>95</v>
      </c>
      <c r="W9" s="106">
        <f>Summary!$C$20*K9+Summary!$C$21*L9+Summary!$C$22*M9+Summary!$C$23*N9+Summary!$C$24*O9+Summary!$C$25*P9+Summary!$C$26*Q9</f>
        <v>947.15000000000009</v>
      </c>
      <c r="X9" t="s">
        <v>61</v>
      </c>
      <c r="Y9">
        <v>96</v>
      </c>
      <c r="Z9">
        <v>96</v>
      </c>
      <c r="AF9" s="30" t="s">
        <v>63</v>
      </c>
      <c r="AG9" s="54" t="s">
        <v>65</v>
      </c>
      <c r="AH9" s="54"/>
      <c r="AI9" s="54"/>
      <c r="AJ9" s="54"/>
      <c r="AK9" s="54"/>
    </row>
    <row r="10" spans="1:38" x14ac:dyDescent="0.3">
      <c r="A10">
        <v>7</v>
      </c>
      <c r="B10" s="50">
        <f t="shared" si="0"/>
        <v>395</v>
      </c>
      <c r="C10" s="46">
        <f t="shared" si="2"/>
        <v>785</v>
      </c>
      <c r="D10" s="56">
        <f t="shared" si="3"/>
        <v>403.25</v>
      </c>
      <c r="E10" s="46">
        <f t="shared" si="1"/>
        <v>0</v>
      </c>
      <c r="F10" s="46">
        <f t="shared" si="1"/>
        <v>150</v>
      </c>
      <c r="G10" s="46">
        <f t="shared" si="1"/>
        <v>21.749999999999975</v>
      </c>
      <c r="H10" s="46">
        <f t="shared" si="1"/>
        <v>100</v>
      </c>
      <c r="I10" s="46">
        <f t="shared" si="1"/>
        <v>0</v>
      </c>
      <c r="J10" s="46">
        <f t="shared" si="1"/>
        <v>110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95</v>
      </c>
      <c r="R10" s="46" t="s">
        <v>62</v>
      </c>
      <c r="S10" s="46" t="s">
        <v>60</v>
      </c>
      <c r="T10" s="46">
        <v>25.92</v>
      </c>
      <c r="U10" s="46">
        <v>70.08</v>
      </c>
      <c r="V10" s="46">
        <f t="shared" si="6"/>
        <v>95</v>
      </c>
      <c r="W10" s="106">
        <f>Summary!$C$20*K10+Summary!$C$21*L10+Summary!$C$22*M10+Summary!$C$23*N10+Summary!$C$24*O10+Summary!$C$25*P10+Summary!$C$26*Q10</f>
        <v>947.15000000000009</v>
      </c>
      <c r="X10" t="s">
        <v>61</v>
      </c>
      <c r="Y10">
        <v>96</v>
      </c>
      <c r="Z10">
        <v>96</v>
      </c>
      <c r="AF10" s="30" t="s">
        <v>66</v>
      </c>
      <c r="AG10" s="54" t="s">
        <v>67</v>
      </c>
      <c r="AH10" s="54"/>
      <c r="AI10" s="54"/>
      <c r="AJ10" s="54"/>
      <c r="AK10" s="54"/>
    </row>
    <row r="11" spans="1:38" x14ac:dyDescent="0.3">
      <c r="A11">
        <v>8</v>
      </c>
      <c r="B11" s="50">
        <f t="shared" si="0"/>
        <v>490</v>
      </c>
      <c r="C11" s="46">
        <f t="shared" si="2"/>
        <v>690</v>
      </c>
      <c r="D11" s="56">
        <f t="shared" si="3"/>
        <v>403.25</v>
      </c>
      <c r="E11" s="46">
        <f t="shared" si="1"/>
        <v>0</v>
      </c>
      <c r="F11" s="46">
        <f t="shared" si="1"/>
        <v>150</v>
      </c>
      <c r="G11" s="46">
        <f t="shared" si="1"/>
        <v>21.749999999999975</v>
      </c>
      <c r="H11" s="46">
        <f t="shared" si="1"/>
        <v>100</v>
      </c>
      <c r="I11" s="46">
        <f t="shared" si="1"/>
        <v>0</v>
      </c>
      <c r="J11" s="46">
        <f t="shared" si="1"/>
        <v>15</v>
      </c>
      <c r="K11" s="46">
        <v>0</v>
      </c>
      <c r="L11" s="46">
        <v>0</v>
      </c>
      <c r="M11" s="46">
        <v>0</v>
      </c>
      <c r="N11" s="46">
        <v>0</v>
      </c>
      <c r="O11" s="46">
        <v>0</v>
      </c>
      <c r="P11" s="46">
        <v>0</v>
      </c>
      <c r="Q11" s="46">
        <v>95</v>
      </c>
      <c r="R11" s="46" t="s">
        <v>62</v>
      </c>
      <c r="S11" s="46" t="s">
        <v>60</v>
      </c>
      <c r="T11" s="46">
        <v>25.92</v>
      </c>
      <c r="U11" s="46">
        <v>70.08</v>
      </c>
      <c r="V11" s="46">
        <f t="shared" si="6"/>
        <v>95</v>
      </c>
      <c r="W11" s="106">
        <f>Summary!$C$20*K11+Summary!$C$21*L11+Summary!$C$22*M11+Summary!$C$23*N11+Summary!$C$24*O11+Summary!$C$25*P11+Summary!$C$26*Q11</f>
        <v>947.15000000000009</v>
      </c>
      <c r="X11" t="s">
        <v>61</v>
      </c>
      <c r="Y11">
        <v>96</v>
      </c>
      <c r="Z11">
        <v>96</v>
      </c>
      <c r="AF11" s="30" t="s">
        <v>66</v>
      </c>
      <c r="AG11" s="54" t="s">
        <v>58</v>
      </c>
      <c r="AI11" s="54"/>
      <c r="AJ11" s="54"/>
      <c r="AK11" s="54"/>
    </row>
    <row r="12" spans="1:38" x14ac:dyDescent="0.3">
      <c r="A12">
        <v>9</v>
      </c>
      <c r="B12" s="50">
        <f t="shared" si="0"/>
        <v>585</v>
      </c>
      <c r="C12" s="46">
        <f t="shared" si="2"/>
        <v>595</v>
      </c>
      <c r="D12" s="56">
        <f t="shared" si="3"/>
        <v>403.25</v>
      </c>
      <c r="E12" s="46">
        <f t="shared" si="1"/>
        <v>0</v>
      </c>
      <c r="F12" s="46">
        <f t="shared" si="1"/>
        <v>93</v>
      </c>
      <c r="G12" s="46">
        <f t="shared" si="1"/>
        <v>21.749999999999975</v>
      </c>
      <c r="H12" s="46">
        <f t="shared" si="1"/>
        <v>62</v>
      </c>
      <c r="I12" s="46">
        <f t="shared" si="1"/>
        <v>0</v>
      </c>
      <c r="J12" s="46">
        <f t="shared" si="1"/>
        <v>15</v>
      </c>
      <c r="K12" s="46">
        <v>0</v>
      </c>
      <c r="L12" s="46">
        <v>0</v>
      </c>
      <c r="M12" s="46">
        <f>(95-Q12)*0.6</f>
        <v>57</v>
      </c>
      <c r="N12" s="46">
        <v>0</v>
      </c>
      <c r="O12" s="46">
        <f>(95-Q12)*0.4</f>
        <v>38</v>
      </c>
      <c r="P12" s="46">
        <v>0</v>
      </c>
      <c r="Q12" s="46">
        <v>0</v>
      </c>
      <c r="R12" s="46" t="s">
        <v>62</v>
      </c>
      <c r="S12" s="46" t="s">
        <v>60</v>
      </c>
      <c r="T12" s="46">
        <v>25.92</v>
      </c>
      <c r="U12" s="46">
        <v>70.08</v>
      </c>
      <c r="V12" s="46">
        <f>SUM(K12:Q12)</f>
        <v>95</v>
      </c>
      <c r="W12" s="106">
        <f>Summary!$C$20*K12+Summary!$C$21*L12+Summary!$C$22*M12+Summary!$C$23*N12+Summary!$C$24*O12+Summary!$C$25*P12+Summary!$C$26*Q12</f>
        <v>1320.69</v>
      </c>
      <c r="X12" t="s">
        <v>61</v>
      </c>
      <c r="Y12">
        <v>96</v>
      </c>
      <c r="Z12">
        <v>96</v>
      </c>
      <c r="AF12" s="30" t="s">
        <v>66</v>
      </c>
      <c r="AG12" s="54" t="s">
        <v>58</v>
      </c>
      <c r="AI12" s="54"/>
      <c r="AJ12" s="54"/>
      <c r="AK12" s="54"/>
    </row>
    <row r="13" spans="1:38" x14ac:dyDescent="0.3">
      <c r="A13">
        <v>10</v>
      </c>
      <c r="B13" s="50">
        <f t="shared" si="0"/>
        <v>680.4</v>
      </c>
      <c r="C13" s="46">
        <f t="shared" si="2"/>
        <v>499.6</v>
      </c>
      <c r="D13" s="55">
        <f t="shared" si="3"/>
        <v>403.25</v>
      </c>
      <c r="E13" s="46">
        <f t="shared" si="1"/>
        <v>0</v>
      </c>
      <c r="F13" s="46">
        <f t="shared" si="1"/>
        <v>36</v>
      </c>
      <c r="G13" s="46">
        <f t="shared" si="1"/>
        <v>21.749999999999975</v>
      </c>
      <c r="H13" s="46">
        <f t="shared" si="1"/>
        <v>23.599999999999994</v>
      </c>
      <c r="I13" s="46">
        <f t="shared" si="1"/>
        <v>0</v>
      </c>
      <c r="J13" s="46">
        <f t="shared" si="1"/>
        <v>15</v>
      </c>
      <c r="K13" s="46">
        <v>0</v>
      </c>
      <c r="L13" s="46">
        <v>0</v>
      </c>
      <c r="M13" s="46">
        <f>95*0.6</f>
        <v>57</v>
      </c>
      <c r="N13" s="46">
        <v>0</v>
      </c>
      <c r="O13" s="46">
        <f>96*0.4</f>
        <v>38.400000000000006</v>
      </c>
      <c r="P13" s="46">
        <v>0</v>
      </c>
      <c r="Q13" s="46">
        <v>0</v>
      </c>
      <c r="R13" s="46" t="s">
        <v>62</v>
      </c>
      <c r="S13" s="46" t="s">
        <v>60</v>
      </c>
      <c r="T13" s="46">
        <v>20.399999999999991</v>
      </c>
      <c r="U13" s="46">
        <v>55.15555555555553</v>
      </c>
      <c r="V13" s="46">
        <f t="shared" si="6"/>
        <v>95.4</v>
      </c>
      <c r="W13" s="106">
        <f>Summary!$C$20*K13+Summary!$C$21*L13+Summary!$C$22*M13+Summary!$C$23*N13+Summary!$C$24*O13+Summary!$C$25*P13+Summary!$C$26*Q13</f>
        <v>1325.1660000000002</v>
      </c>
      <c r="X13" t="s">
        <v>61</v>
      </c>
      <c r="Y13">
        <v>75.555555555555515</v>
      </c>
      <c r="Z13">
        <v>96</v>
      </c>
      <c r="AF13" s="30" t="s">
        <v>110</v>
      </c>
      <c r="AG13" s="54" t="s">
        <v>58</v>
      </c>
      <c r="AH13" s="54" t="s">
        <v>69</v>
      </c>
      <c r="AI13" s="54"/>
      <c r="AJ13" s="54"/>
      <c r="AK13" s="54"/>
    </row>
    <row r="14" spans="1:38" x14ac:dyDescent="0.3">
      <c r="A14">
        <v>11</v>
      </c>
      <c r="B14" s="50">
        <f t="shared" si="0"/>
        <v>775.4</v>
      </c>
      <c r="C14" s="46">
        <f t="shared" si="2"/>
        <v>404.6</v>
      </c>
      <c r="D14" s="46">
        <f t="shared" si="3"/>
        <v>368.25</v>
      </c>
      <c r="E14" s="46">
        <f t="shared" si="1"/>
        <v>0</v>
      </c>
      <c r="F14" s="46">
        <f t="shared" si="1"/>
        <v>0</v>
      </c>
      <c r="G14" s="46">
        <f t="shared" si="1"/>
        <v>21.749999999999975</v>
      </c>
      <c r="H14" s="46">
        <f t="shared" si="1"/>
        <v>-0.40000000000000568</v>
      </c>
      <c r="I14" s="46">
        <f t="shared" si="1"/>
        <v>0</v>
      </c>
      <c r="J14" s="46">
        <f t="shared" si="1"/>
        <v>15</v>
      </c>
      <c r="K14" s="46">
        <f>95-(36+24)</f>
        <v>35</v>
      </c>
      <c r="L14" s="46">
        <v>0</v>
      </c>
      <c r="M14" s="46">
        <v>36</v>
      </c>
      <c r="N14" s="46">
        <v>0</v>
      </c>
      <c r="O14" s="46">
        <f>(M14/60)*40</f>
        <v>24</v>
      </c>
      <c r="P14" s="46">
        <v>0</v>
      </c>
      <c r="Q14" s="46">
        <v>0</v>
      </c>
      <c r="R14" s="46" t="s">
        <v>59</v>
      </c>
      <c r="S14" s="46" t="s">
        <v>60</v>
      </c>
      <c r="T14" s="46">
        <v>25.65</v>
      </c>
      <c r="U14" s="46">
        <v>69.349999999999994</v>
      </c>
      <c r="V14" s="46">
        <f t="shared" si="6"/>
        <v>95</v>
      </c>
      <c r="W14" s="106">
        <f>Summary!$C$20*K14+Summary!$C$21*L14+Summary!$C$22*M14+Summary!$C$23*N14+Summary!$C$24*O14+Summary!$C$25*P14+Summary!$C$26*Q14</f>
        <v>1388.87</v>
      </c>
      <c r="X14" t="s">
        <v>61</v>
      </c>
      <c r="Y14">
        <v>95</v>
      </c>
      <c r="Z14">
        <v>95</v>
      </c>
      <c r="AG14" s="54" t="s">
        <v>63</v>
      </c>
      <c r="AH14" s="54" t="s">
        <v>58</v>
      </c>
      <c r="AI14" s="54" t="s">
        <v>70</v>
      </c>
      <c r="AK14" s="54"/>
    </row>
    <row r="15" spans="1:38" x14ac:dyDescent="0.3">
      <c r="A15">
        <v>12</v>
      </c>
      <c r="B15" s="50">
        <f t="shared" si="0"/>
        <v>292.39999999999998</v>
      </c>
      <c r="C15" s="46">
        <f t="shared" si="2"/>
        <v>887.6</v>
      </c>
      <c r="D15" s="46">
        <f t="shared" si="3"/>
        <v>281.25</v>
      </c>
      <c r="E15" s="46">
        <f t="shared" si="1"/>
        <v>0</v>
      </c>
      <c r="F15" s="46">
        <f t="shared" si="1"/>
        <v>0</v>
      </c>
      <c r="G15" s="46">
        <f t="shared" si="1"/>
        <v>21.749999999999975</v>
      </c>
      <c r="H15" s="46">
        <f t="shared" si="1"/>
        <v>-0.40000000000000568</v>
      </c>
      <c r="I15" s="56">
        <f>I14-P15 +250</f>
        <v>250</v>
      </c>
      <c r="J15" s="56">
        <f>J14-Q15 + 320</f>
        <v>335</v>
      </c>
      <c r="K15" s="46">
        <v>87</v>
      </c>
      <c r="L15" s="46">
        <v>0</v>
      </c>
      <c r="M15" s="46">
        <v>0</v>
      </c>
      <c r="N15" s="46"/>
      <c r="O15" s="46">
        <v>0</v>
      </c>
      <c r="P15" s="46">
        <v>0</v>
      </c>
      <c r="Q15" s="46">
        <v>0</v>
      </c>
      <c r="R15" s="46" t="s">
        <v>59</v>
      </c>
      <c r="S15" s="46" t="s">
        <v>60</v>
      </c>
      <c r="T15" s="46">
        <v>25.65</v>
      </c>
      <c r="U15" s="46">
        <v>69.349999999999994</v>
      </c>
      <c r="V15" s="46">
        <f t="shared" si="6"/>
        <v>87</v>
      </c>
      <c r="W15" s="106">
        <f>Summary!$C$20*K15+Summary!$C$21*L15+Summary!$C$22*M15+Summary!$C$23*N15+Summary!$C$24*O15+Summary!$C$25*P15+Summary!$C$26*Q15</f>
        <v>1378.95</v>
      </c>
      <c r="X15" t="s">
        <v>61</v>
      </c>
      <c r="Y15">
        <v>95</v>
      </c>
      <c r="Z15">
        <v>95</v>
      </c>
      <c r="AG15" s="54" t="s">
        <v>63</v>
      </c>
      <c r="AH15" s="54" t="s">
        <v>58</v>
      </c>
      <c r="AI15" s="54" t="s">
        <v>58</v>
      </c>
    </row>
    <row r="16" spans="1:38" x14ac:dyDescent="0.3">
      <c r="A16">
        <v>13</v>
      </c>
      <c r="B16" s="50">
        <f t="shared" si="0"/>
        <v>379.40000000000009</v>
      </c>
      <c r="C16" s="46">
        <f t="shared" si="2"/>
        <v>800.59999999999991</v>
      </c>
      <c r="D16" s="46">
        <f t="shared" si="3"/>
        <v>194.25</v>
      </c>
      <c r="E16" s="46">
        <f t="shared" si="1"/>
        <v>0</v>
      </c>
      <c r="F16" s="46">
        <f t="shared" si="1"/>
        <v>0</v>
      </c>
      <c r="G16" s="46">
        <f t="shared" si="1"/>
        <v>21.749999999999975</v>
      </c>
      <c r="H16" s="46">
        <f t="shared" si="1"/>
        <v>-0.40000000000000568</v>
      </c>
      <c r="I16" s="56">
        <f t="shared" si="1"/>
        <v>250</v>
      </c>
      <c r="J16" s="56">
        <f t="shared" si="1"/>
        <v>335</v>
      </c>
      <c r="K16" s="46">
        <v>87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 t="s">
        <v>59</v>
      </c>
      <c r="S16" s="46" t="s">
        <v>60</v>
      </c>
      <c r="T16" s="46">
        <v>25.65</v>
      </c>
      <c r="U16" s="46">
        <v>69.349999999999994</v>
      </c>
      <c r="V16" s="46">
        <f t="shared" si="6"/>
        <v>87</v>
      </c>
      <c r="W16" s="106">
        <f>Summary!$C$20*K16+Summary!$C$21*L16+Summary!$C$22*M16+Summary!$C$23*N16+Summary!$C$24*O16+Summary!$C$25*P16+Summary!$C$26*Q16</f>
        <v>1378.95</v>
      </c>
      <c r="X16" t="s">
        <v>61</v>
      </c>
      <c r="Y16">
        <v>95</v>
      </c>
      <c r="Z16">
        <v>95</v>
      </c>
      <c r="AG16" s="54" t="s">
        <v>71</v>
      </c>
      <c r="AH16" s="30" t="s">
        <v>63</v>
      </c>
      <c r="AI16" s="54" t="s">
        <v>58</v>
      </c>
    </row>
    <row r="17" spans="1:37" x14ac:dyDescent="0.3">
      <c r="A17">
        <v>14</v>
      </c>
      <c r="B17" s="50">
        <f t="shared" si="0"/>
        <v>316.39999999999998</v>
      </c>
      <c r="C17" s="46">
        <f t="shared" si="2"/>
        <v>863.6</v>
      </c>
      <c r="D17" s="46">
        <f t="shared" si="3"/>
        <v>107.25</v>
      </c>
      <c r="E17" s="46">
        <f t="shared" si="1"/>
        <v>0</v>
      </c>
      <c r="F17" s="46">
        <f>F16-M17 + 150</f>
        <v>150</v>
      </c>
      <c r="G17" s="46">
        <f t="shared" si="1"/>
        <v>21.749999999999975</v>
      </c>
      <c r="H17" s="46">
        <f t="shared" si="1"/>
        <v>-0.40000000000000568</v>
      </c>
      <c r="I17" s="56">
        <f t="shared" si="1"/>
        <v>250</v>
      </c>
      <c r="J17" s="56">
        <f t="shared" si="1"/>
        <v>335</v>
      </c>
      <c r="K17" s="46">
        <v>87</v>
      </c>
      <c r="L17" s="46">
        <v>0</v>
      </c>
      <c r="M17" s="46">
        <v>0</v>
      </c>
      <c r="N17" s="46">
        <v>0</v>
      </c>
      <c r="O17" s="46">
        <v>0</v>
      </c>
      <c r="P17" s="46">
        <v>0</v>
      </c>
      <c r="Q17" s="46">
        <v>0</v>
      </c>
      <c r="R17" s="46" t="s">
        <v>59</v>
      </c>
      <c r="S17" s="46" t="s">
        <v>60</v>
      </c>
      <c r="T17" s="46">
        <v>24.797260273972611</v>
      </c>
      <c r="U17" s="46">
        <v>67.044444444444451</v>
      </c>
      <c r="V17" s="46">
        <f t="shared" si="6"/>
        <v>87</v>
      </c>
      <c r="W17" s="106">
        <f>Summary!$C$20*K17+Summary!$C$21*L17+Summary!$C$22*M17+Summary!$C$23*N17+Summary!$C$24*O17+Summary!$C$25*P17+Summary!$C$26*Q17</f>
        <v>1378.95</v>
      </c>
      <c r="X17" t="s">
        <v>61</v>
      </c>
      <c r="Y17">
        <v>91.841704718417063</v>
      </c>
      <c r="Z17">
        <v>95</v>
      </c>
      <c r="AG17" s="54" t="s">
        <v>71</v>
      </c>
      <c r="AH17" s="30" t="s">
        <v>63</v>
      </c>
      <c r="AI17" s="54" t="s">
        <v>58</v>
      </c>
    </row>
    <row r="18" spans="1:37" x14ac:dyDescent="0.3">
      <c r="A18">
        <v>15</v>
      </c>
      <c r="B18" s="50">
        <f t="shared" si="0"/>
        <v>411.8814814814815</v>
      </c>
      <c r="C18" s="46">
        <f t="shared" si="2"/>
        <v>768.1185185185185</v>
      </c>
      <c r="D18" s="46">
        <f t="shared" si="3"/>
        <v>47.768518518518519</v>
      </c>
      <c r="E18" s="46">
        <f t="shared" si="1"/>
        <v>0</v>
      </c>
      <c r="F18" s="46">
        <f t="shared" si="1"/>
        <v>150</v>
      </c>
      <c r="G18" s="46">
        <f t="shared" si="1"/>
        <v>-0.25000000000002487</v>
      </c>
      <c r="H18" s="46">
        <f t="shared" si="1"/>
        <v>-0.40000000000000568</v>
      </c>
      <c r="I18" s="56">
        <f t="shared" si="1"/>
        <v>250</v>
      </c>
      <c r="J18" s="56">
        <f t="shared" si="1"/>
        <v>321</v>
      </c>
      <c r="K18" s="46">
        <f>22/27*73</f>
        <v>59.481481481481481</v>
      </c>
      <c r="L18" s="46">
        <v>0</v>
      </c>
      <c r="M18" s="46">
        <v>0</v>
      </c>
      <c r="N18" s="46">
        <v>22</v>
      </c>
      <c r="O18" s="46">
        <v>0</v>
      </c>
      <c r="P18" s="46">
        <v>0</v>
      </c>
      <c r="Q18" s="46">
        <f>95-81</f>
        <v>14</v>
      </c>
      <c r="R18" s="46" t="s">
        <v>53</v>
      </c>
      <c r="S18" s="46"/>
      <c r="T18" s="46">
        <v>7.1054273576010019E-15</v>
      </c>
      <c r="U18" s="46">
        <v>0</v>
      </c>
      <c r="V18" s="46">
        <f t="shared" si="6"/>
        <v>95.481481481481481</v>
      </c>
      <c r="W18" s="106">
        <f>Summary!$C$20*K18+Summary!$C$21*L18+Summary!$C$22*M18+Summary!$C$23*N18+Summary!$C$24*O18+Summary!$C$25*P18+Summary!$C$26*Q18</f>
        <v>1505.6414814814814</v>
      </c>
      <c r="X18" t="s">
        <v>72</v>
      </c>
      <c r="Y18">
        <v>7.1054273576010019E-15</v>
      </c>
      <c r="Z18">
        <v>96</v>
      </c>
      <c r="AG18" s="54" t="s">
        <v>71</v>
      </c>
      <c r="AH18" s="30" t="s">
        <v>66</v>
      </c>
      <c r="AI18" s="30" t="s">
        <v>73</v>
      </c>
    </row>
    <row r="19" spans="1:37" x14ac:dyDescent="0.3">
      <c r="A19">
        <v>16</v>
      </c>
      <c r="B19" s="50">
        <f t="shared" si="0"/>
        <v>506.8814814814815</v>
      </c>
      <c r="C19" s="46">
        <f t="shared" si="2"/>
        <v>673.1185185185185</v>
      </c>
      <c r="D19" s="46">
        <f t="shared" si="3"/>
        <v>47.768518518518519</v>
      </c>
      <c r="E19" s="46">
        <f t="shared" si="1"/>
        <v>0</v>
      </c>
      <c r="F19" s="46">
        <f t="shared" si="1"/>
        <v>150</v>
      </c>
      <c r="G19" s="46">
        <f t="shared" si="1"/>
        <v>-0.25000000000002487</v>
      </c>
      <c r="H19" s="46">
        <f t="shared" si="1"/>
        <v>-0.40000000000000568</v>
      </c>
      <c r="I19" s="55">
        <f t="shared" si="1"/>
        <v>250</v>
      </c>
      <c r="J19" s="55">
        <f t="shared" si="1"/>
        <v>226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f>(24-K19/87*24)*95/24</f>
        <v>95</v>
      </c>
      <c r="R19" s="46" t="s">
        <v>59</v>
      </c>
      <c r="S19" s="46"/>
      <c r="T19" s="46">
        <v>95</v>
      </c>
      <c r="U19" s="46">
        <v>0</v>
      </c>
      <c r="V19" s="46">
        <f t="shared" si="6"/>
        <v>95</v>
      </c>
      <c r="W19" s="106">
        <f>Summary!$C$20*K19+Summary!$C$21*L19+Summary!$C$22*M19+Summary!$C$23*N19+Summary!$C$24*O19+Summary!$C$25*P19+Summary!$C$26*Q19</f>
        <v>947.15000000000009</v>
      </c>
      <c r="X19" t="s">
        <v>72</v>
      </c>
      <c r="Y19">
        <v>95</v>
      </c>
      <c r="Z19">
        <v>95</v>
      </c>
      <c r="AG19" s="54" t="s">
        <v>111</v>
      </c>
      <c r="AH19" s="30" t="s">
        <v>66</v>
      </c>
      <c r="AI19" s="54" t="s">
        <v>63</v>
      </c>
    </row>
    <row r="20" spans="1:37" x14ac:dyDescent="0.3">
      <c r="A20">
        <v>17</v>
      </c>
      <c r="B20" s="50">
        <f t="shared" si="0"/>
        <v>51.881481481481387</v>
      </c>
      <c r="C20" s="46">
        <f t="shared" si="2"/>
        <v>1128.1185185185186</v>
      </c>
      <c r="D20" s="46">
        <f t="shared" si="3"/>
        <v>47.768518518518519</v>
      </c>
      <c r="E20" s="46">
        <f t="shared" si="3"/>
        <v>0</v>
      </c>
      <c r="F20" s="46">
        <f t="shared" si="3"/>
        <v>150</v>
      </c>
      <c r="G20" s="46">
        <f t="shared" si="3"/>
        <v>-0.25000000000002487</v>
      </c>
      <c r="H20" s="46">
        <f t="shared" si="3"/>
        <v>-0.40000000000000568</v>
      </c>
      <c r="I20" s="56">
        <f>I19-P20 + 550</f>
        <v>800</v>
      </c>
      <c r="J20" s="46">
        <f t="shared" si="3"/>
        <v>131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6">
        <v>0</v>
      </c>
      <c r="Q20" s="46">
        <v>95</v>
      </c>
      <c r="R20" s="46" t="s">
        <v>59</v>
      </c>
      <c r="S20" s="46"/>
      <c r="T20" s="46">
        <v>77.60273972602738</v>
      </c>
      <c r="U20" s="46">
        <v>0</v>
      </c>
      <c r="V20" s="46">
        <f t="shared" si="6"/>
        <v>95</v>
      </c>
      <c r="W20" s="106">
        <f>Summary!$C$20*K20+Summary!$C$21*L20+Summary!$C$22*M20+Summary!$C$23*N20+Summary!$C$24*O20+Summary!$C$25*P20+Summary!$C$26*Q20</f>
        <v>947.15000000000009</v>
      </c>
      <c r="X20" t="s">
        <v>72</v>
      </c>
      <c r="Y20">
        <v>77.60273972602738</v>
      </c>
      <c r="Z20">
        <v>95</v>
      </c>
      <c r="AH20" s="30" t="s">
        <v>66</v>
      </c>
      <c r="AI20" s="54" t="s">
        <v>63</v>
      </c>
    </row>
    <row r="21" spans="1:37" x14ac:dyDescent="0.3">
      <c r="A21">
        <v>18</v>
      </c>
      <c r="B21" s="50">
        <f t="shared" si="0"/>
        <v>146.88148148148139</v>
      </c>
      <c r="C21" s="46">
        <f>SUM(D21:J21)</f>
        <v>1033.1185185185186</v>
      </c>
      <c r="D21" s="46">
        <f t="shared" si="3"/>
        <v>47.768518518518519</v>
      </c>
      <c r="E21" s="46">
        <f t="shared" si="3"/>
        <v>0</v>
      </c>
      <c r="F21" s="46">
        <f t="shared" si="3"/>
        <v>150</v>
      </c>
      <c r="G21" s="46">
        <f t="shared" si="3"/>
        <v>-0.25000000000002487</v>
      </c>
      <c r="H21" s="46">
        <f t="shared" si="3"/>
        <v>-0.40000000000000568</v>
      </c>
      <c r="I21" s="56">
        <f t="shared" si="3"/>
        <v>800</v>
      </c>
      <c r="J21" s="46">
        <f t="shared" si="3"/>
        <v>36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f>95-P21</f>
        <v>95</v>
      </c>
      <c r="R21" s="46" t="s">
        <v>75</v>
      </c>
      <c r="S21" s="46"/>
      <c r="T21" s="46">
        <v>95</v>
      </c>
      <c r="U21" s="46">
        <v>0</v>
      </c>
      <c r="V21" s="46">
        <f t="shared" si="6"/>
        <v>95</v>
      </c>
      <c r="W21" s="106">
        <f>Summary!$C$20*K21+Summary!$C$21*L21+Summary!$C$22*M21+Summary!$C$23*N21+Summary!$C$24*O21+Summary!$C$25*P21+Summary!$C$26*Q21</f>
        <v>947.15000000000009</v>
      </c>
      <c r="X21" t="s">
        <v>72</v>
      </c>
      <c r="Y21">
        <v>95</v>
      </c>
      <c r="Z21">
        <v>95</v>
      </c>
      <c r="AH21" s="30" t="s">
        <v>76</v>
      </c>
      <c r="AI21" s="54" t="s">
        <v>71</v>
      </c>
      <c r="AJ21" s="30" t="s">
        <v>77</v>
      </c>
    </row>
    <row r="22" spans="1:37" x14ac:dyDescent="0.3">
      <c r="A22">
        <v>19</v>
      </c>
      <c r="B22" s="50">
        <f t="shared" si="0"/>
        <v>241.8814814814815</v>
      </c>
      <c r="C22" s="46">
        <f t="shared" si="2"/>
        <v>938.1185185185185</v>
      </c>
      <c r="D22" s="46">
        <f t="shared" si="3"/>
        <v>47.768518518518519</v>
      </c>
      <c r="E22" s="46">
        <f t="shared" si="3"/>
        <v>0</v>
      </c>
      <c r="F22" s="46">
        <f t="shared" si="3"/>
        <v>150</v>
      </c>
      <c r="G22" s="46">
        <f t="shared" si="3"/>
        <v>-0.25000000000002487</v>
      </c>
      <c r="H22" s="46">
        <f t="shared" si="3"/>
        <v>-0.40000000000000568</v>
      </c>
      <c r="I22" s="56">
        <f t="shared" si="3"/>
        <v>705</v>
      </c>
      <c r="J22" s="46">
        <f t="shared" si="3"/>
        <v>36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f>95-Q22</f>
        <v>95</v>
      </c>
      <c r="Q22" s="46">
        <v>0</v>
      </c>
      <c r="R22" s="46" t="s">
        <v>53</v>
      </c>
      <c r="S22" s="46"/>
      <c r="T22" s="46">
        <v>96</v>
      </c>
      <c r="U22" s="46">
        <v>0</v>
      </c>
      <c r="V22" s="46">
        <f t="shared" si="6"/>
        <v>95</v>
      </c>
      <c r="W22" s="106">
        <f>Summary!$C$20*K22+Summary!$C$21*L22+Summary!$C$22*M22+Summary!$C$23*N22+Summary!$C$24*O22+Summary!$C$25*P22+Summary!$C$26*Q22</f>
        <v>948.1</v>
      </c>
      <c r="X22" t="s">
        <v>72</v>
      </c>
      <c r="Y22">
        <v>96</v>
      </c>
      <c r="Z22">
        <v>96</v>
      </c>
      <c r="AI22" s="54" t="s">
        <v>71</v>
      </c>
      <c r="AJ22" s="30" t="s">
        <v>78</v>
      </c>
    </row>
    <row r="23" spans="1:37" x14ac:dyDescent="0.3">
      <c r="A23">
        <v>20</v>
      </c>
      <c r="B23" s="50">
        <f t="shared" si="0"/>
        <v>336.8814814814815</v>
      </c>
      <c r="C23" s="46">
        <f t="shared" si="2"/>
        <v>843.1185185185185</v>
      </c>
      <c r="D23" s="46">
        <f t="shared" si="3"/>
        <v>47.768518518518519</v>
      </c>
      <c r="E23" s="46">
        <f t="shared" si="3"/>
        <v>0</v>
      </c>
      <c r="F23" s="46">
        <f t="shared" si="3"/>
        <v>150</v>
      </c>
      <c r="G23" s="46">
        <f t="shared" si="3"/>
        <v>-0.25000000000002487</v>
      </c>
      <c r="H23" s="46">
        <f t="shared" si="3"/>
        <v>-0.40000000000000568</v>
      </c>
      <c r="I23" s="56">
        <f t="shared" si="3"/>
        <v>610</v>
      </c>
      <c r="J23" s="46">
        <f t="shared" si="3"/>
        <v>36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95</v>
      </c>
      <c r="Q23" s="46">
        <v>0</v>
      </c>
      <c r="R23" s="46" t="s">
        <v>53</v>
      </c>
      <c r="S23" s="46"/>
      <c r="T23" s="46">
        <v>96</v>
      </c>
      <c r="U23" s="46">
        <v>0</v>
      </c>
      <c r="V23" s="46">
        <f t="shared" si="6"/>
        <v>95</v>
      </c>
      <c r="W23" s="106">
        <f>Summary!$C$20*K23+Summary!$C$21*L23+Summary!$C$22*M23+Summary!$C$23*N23+Summary!$C$24*O23+Summary!$C$25*P23+Summary!$C$26*Q23</f>
        <v>948.1</v>
      </c>
      <c r="X23" t="s">
        <v>72</v>
      </c>
      <c r="Y23">
        <v>96</v>
      </c>
      <c r="Z23">
        <v>96</v>
      </c>
      <c r="AI23" s="54" t="s">
        <v>71</v>
      </c>
      <c r="AJ23" s="30" t="s">
        <v>58</v>
      </c>
    </row>
    <row r="24" spans="1:37" x14ac:dyDescent="0.3">
      <c r="A24">
        <v>21</v>
      </c>
      <c r="B24" s="50">
        <f t="shared" si="0"/>
        <v>431.8814814814815</v>
      </c>
      <c r="C24" s="46">
        <f t="shared" si="2"/>
        <v>748.1185185185185</v>
      </c>
      <c r="D24" s="46">
        <f t="shared" si="3"/>
        <v>47.768518518518519</v>
      </c>
      <c r="E24" s="46">
        <f t="shared" si="3"/>
        <v>0</v>
      </c>
      <c r="F24" s="46">
        <f t="shared" si="3"/>
        <v>150</v>
      </c>
      <c r="G24" s="46">
        <f t="shared" si="3"/>
        <v>-0.25000000000002487</v>
      </c>
      <c r="H24" s="46">
        <f t="shared" si="3"/>
        <v>-0.40000000000000568</v>
      </c>
      <c r="I24" s="55">
        <f t="shared" si="3"/>
        <v>515</v>
      </c>
      <c r="J24" s="46">
        <f t="shared" si="3"/>
        <v>36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95</v>
      </c>
      <c r="Q24" s="46">
        <v>0</v>
      </c>
      <c r="R24" s="46" t="s">
        <v>53</v>
      </c>
      <c r="S24" s="46"/>
      <c r="T24" s="46">
        <v>8</v>
      </c>
      <c r="U24" s="46">
        <v>0</v>
      </c>
      <c r="V24" s="46">
        <f t="shared" si="6"/>
        <v>95</v>
      </c>
      <c r="W24" s="106">
        <f>Summary!$C$20*K24+Summary!$C$21*L24+Summary!$C$22*M24+Summary!$C$23*N24+Summary!$C$24*O24+Summary!$C$25*P24+Summary!$C$26*Q24</f>
        <v>948.1</v>
      </c>
      <c r="X24" t="s">
        <v>72</v>
      </c>
      <c r="Y24">
        <v>8</v>
      </c>
      <c r="Z24">
        <v>96</v>
      </c>
      <c r="AI24" s="54" t="s">
        <v>80</v>
      </c>
      <c r="AJ24" s="30" t="s">
        <v>58</v>
      </c>
      <c r="AK24" s="30" t="s">
        <v>79</v>
      </c>
    </row>
    <row r="25" spans="1:37" x14ac:dyDescent="0.3">
      <c r="A25">
        <v>22</v>
      </c>
      <c r="B25" s="50">
        <f t="shared" si="0"/>
        <v>526.8814814814815</v>
      </c>
      <c r="C25" s="46">
        <f>SUM(D25:J25)</f>
        <v>653.1185185185185</v>
      </c>
      <c r="D25" s="46">
        <f t="shared" si="3"/>
        <v>47.768518518518519</v>
      </c>
      <c r="E25" s="46">
        <f t="shared" si="3"/>
        <v>0</v>
      </c>
      <c r="F25" s="46">
        <f t="shared" si="3"/>
        <v>150</v>
      </c>
      <c r="G25" s="46">
        <f t="shared" si="3"/>
        <v>-0.25000000000002487</v>
      </c>
      <c r="H25" s="46">
        <f t="shared" si="3"/>
        <v>-0.40000000000000568</v>
      </c>
      <c r="I25" s="46">
        <f t="shared" si="3"/>
        <v>420</v>
      </c>
      <c r="J25" s="46">
        <f t="shared" si="3"/>
        <v>36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f>95-Q25</f>
        <v>95</v>
      </c>
      <c r="Q25" s="46">
        <v>0</v>
      </c>
      <c r="R25" s="46" t="s">
        <v>60</v>
      </c>
      <c r="S25" s="46"/>
      <c r="T25" s="46">
        <v>87</v>
      </c>
      <c r="U25" s="46">
        <v>0</v>
      </c>
      <c r="V25" s="46">
        <f t="shared" si="6"/>
        <v>95</v>
      </c>
      <c r="W25" s="106">
        <f>Summary!$C$20*K25+Summary!$C$21*L25+Summary!$C$22*M25+Summary!$C$23*N25+Summary!$C$24*O25+Summary!$C$25*P25+Summary!$C$26*Q25</f>
        <v>948.1</v>
      </c>
      <c r="X25" t="s">
        <v>72</v>
      </c>
      <c r="Y25">
        <v>87</v>
      </c>
      <c r="Z25">
        <v>87</v>
      </c>
      <c r="AJ25" s="30" t="s">
        <v>63</v>
      </c>
      <c r="AK25" s="30" t="s">
        <v>81</v>
      </c>
    </row>
    <row r="26" spans="1:37" x14ac:dyDescent="0.3">
      <c r="A26">
        <v>23</v>
      </c>
      <c r="B26" s="50">
        <f t="shared" si="0"/>
        <v>61.881481481481387</v>
      </c>
      <c r="C26" s="46">
        <f t="shared" si="2"/>
        <v>1118.1185185185186</v>
      </c>
      <c r="D26" s="56">
        <f>D25-K26 + 360</f>
        <v>407.76851851851853</v>
      </c>
      <c r="E26" s="46">
        <f t="shared" si="3"/>
        <v>0</v>
      </c>
      <c r="F26" s="46">
        <f t="shared" si="3"/>
        <v>150</v>
      </c>
      <c r="G26" s="56">
        <f>G25-N26 + 200</f>
        <v>199.74999999999997</v>
      </c>
      <c r="H26" s="46">
        <f t="shared" si="3"/>
        <v>-0.40000000000000568</v>
      </c>
      <c r="I26" s="46">
        <f t="shared" si="3"/>
        <v>325</v>
      </c>
      <c r="J26" s="46">
        <f t="shared" si="3"/>
        <v>36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95</v>
      </c>
      <c r="Q26" s="46">
        <v>0</v>
      </c>
      <c r="R26" s="46" t="s">
        <v>60</v>
      </c>
      <c r="S26" s="46"/>
      <c r="T26" s="46">
        <v>87</v>
      </c>
      <c r="U26" s="46">
        <v>0</v>
      </c>
      <c r="V26" s="46">
        <f t="shared" si="6"/>
        <v>95</v>
      </c>
      <c r="W26" s="106">
        <f>Summary!$C$20*K26+Summary!$C$21*L26+Summary!$C$22*M26+Summary!$C$23*N26+Summary!$C$24*O26+Summary!$C$25*P26+Summary!$C$26*Q26</f>
        <v>948.1</v>
      </c>
      <c r="X26" t="s">
        <v>72</v>
      </c>
      <c r="Y26">
        <v>87</v>
      </c>
      <c r="Z26">
        <v>87</v>
      </c>
      <c r="AJ26" s="30" t="s">
        <v>63</v>
      </c>
      <c r="AK26" s="30" t="s">
        <v>82</v>
      </c>
    </row>
    <row r="27" spans="1:37" x14ac:dyDescent="0.3">
      <c r="A27">
        <v>24</v>
      </c>
      <c r="B27" s="50">
        <f t="shared" si="0"/>
        <v>156.8814814814815</v>
      </c>
      <c r="C27" s="46">
        <f t="shared" si="2"/>
        <v>1023.1185185185185</v>
      </c>
      <c r="D27" s="56">
        <f t="shared" si="3"/>
        <v>407.76851851851853</v>
      </c>
      <c r="E27" s="46">
        <f t="shared" si="3"/>
        <v>0</v>
      </c>
      <c r="F27" s="46">
        <f t="shared" si="3"/>
        <v>150</v>
      </c>
      <c r="G27" s="56">
        <f t="shared" si="3"/>
        <v>199.74999999999997</v>
      </c>
      <c r="H27" s="46">
        <f t="shared" si="3"/>
        <v>-0.40000000000000568</v>
      </c>
      <c r="I27" s="46">
        <f t="shared" si="3"/>
        <v>230</v>
      </c>
      <c r="J27" s="46">
        <f t="shared" si="3"/>
        <v>36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95</v>
      </c>
      <c r="Q27" s="46">
        <v>0</v>
      </c>
      <c r="R27" s="46" t="s">
        <v>60</v>
      </c>
      <c r="S27" s="46"/>
      <c r="T27" s="46">
        <v>87</v>
      </c>
      <c r="U27" s="46">
        <v>0</v>
      </c>
      <c r="V27" s="46">
        <f t="shared" si="6"/>
        <v>95</v>
      </c>
      <c r="W27" s="106">
        <f>Summary!$C$20*K27+Summary!$C$21*L27+Summary!$C$22*M27+Summary!$C$23*N27+Summary!$C$24*O27+Summary!$C$25*P27+Summary!$C$26*Q27</f>
        <v>948.1</v>
      </c>
      <c r="X27" t="s">
        <v>72</v>
      </c>
      <c r="Y27">
        <v>87</v>
      </c>
      <c r="Z27">
        <v>87</v>
      </c>
      <c r="AJ27" s="30" t="s">
        <v>71</v>
      </c>
      <c r="AK27" s="30" t="s">
        <v>83</v>
      </c>
    </row>
    <row r="28" spans="1:37" x14ac:dyDescent="0.3">
      <c r="A28">
        <v>25</v>
      </c>
      <c r="B28" s="50">
        <f t="shared" si="0"/>
        <v>251.8814814814815</v>
      </c>
      <c r="C28" s="46">
        <f t="shared" si="2"/>
        <v>928.1185185185185</v>
      </c>
      <c r="D28" s="56">
        <f t="shared" si="3"/>
        <v>407.76851851851853</v>
      </c>
      <c r="E28" s="46">
        <f t="shared" si="3"/>
        <v>0</v>
      </c>
      <c r="F28" s="46">
        <f t="shared" si="3"/>
        <v>150</v>
      </c>
      <c r="G28" s="56">
        <f t="shared" si="3"/>
        <v>199.74999999999997</v>
      </c>
      <c r="H28" s="46">
        <f t="shared" si="3"/>
        <v>-0.40000000000000568</v>
      </c>
      <c r="I28" s="46">
        <f t="shared" si="3"/>
        <v>135</v>
      </c>
      <c r="J28" s="46">
        <f t="shared" si="3"/>
        <v>36</v>
      </c>
      <c r="K28" s="46">
        <v>0</v>
      </c>
      <c r="L28" s="46">
        <v>0</v>
      </c>
      <c r="M28" s="46">
        <v>0</v>
      </c>
      <c r="N28" s="46">
        <v>0</v>
      </c>
      <c r="O28" s="46">
        <v>0</v>
      </c>
      <c r="P28" s="46">
        <v>95</v>
      </c>
      <c r="Q28" s="46">
        <v>0</v>
      </c>
      <c r="R28" s="46" t="s">
        <v>60</v>
      </c>
      <c r="S28" s="46"/>
      <c r="T28" s="46">
        <v>87</v>
      </c>
      <c r="U28" s="46">
        <v>0</v>
      </c>
      <c r="V28" s="46">
        <f t="shared" si="6"/>
        <v>95</v>
      </c>
      <c r="W28" s="106">
        <f>Summary!$C$20*K28+Summary!$C$21*L28+Summary!$C$22*M28+Summary!$C$23*N28+Summary!$C$24*O28+Summary!$C$25*P28+Summary!$C$26*Q28</f>
        <v>948.1</v>
      </c>
      <c r="X28" t="s">
        <v>72</v>
      </c>
      <c r="Y28">
        <v>87</v>
      </c>
      <c r="Z28">
        <v>87</v>
      </c>
      <c r="AJ28" s="30" t="s">
        <v>71</v>
      </c>
      <c r="AK28" s="30" t="s">
        <v>58</v>
      </c>
    </row>
    <row r="29" spans="1:37" x14ac:dyDescent="0.3">
      <c r="A29">
        <v>26</v>
      </c>
      <c r="B29" s="50">
        <f t="shared" si="0"/>
        <v>346.8814814814815</v>
      </c>
      <c r="C29" s="46">
        <f t="shared" si="2"/>
        <v>833.1185185185185</v>
      </c>
      <c r="D29" s="56">
        <f t="shared" si="3"/>
        <v>407.76851851851853</v>
      </c>
      <c r="E29" s="46">
        <f t="shared" si="3"/>
        <v>0</v>
      </c>
      <c r="F29" s="46">
        <f t="shared" si="3"/>
        <v>150</v>
      </c>
      <c r="G29" s="56">
        <f t="shared" si="3"/>
        <v>199.74999999999997</v>
      </c>
      <c r="H29" s="46">
        <f t="shared" si="3"/>
        <v>-0.40000000000000568</v>
      </c>
      <c r="I29" s="46">
        <f t="shared" si="3"/>
        <v>40</v>
      </c>
      <c r="J29" s="46">
        <f t="shared" si="3"/>
        <v>36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v>95</v>
      </c>
      <c r="Q29" s="46">
        <v>0</v>
      </c>
      <c r="R29" s="46" t="s">
        <v>60</v>
      </c>
      <c r="S29" s="46"/>
      <c r="T29" s="46">
        <v>12</v>
      </c>
      <c r="U29" s="46">
        <v>0</v>
      </c>
      <c r="V29" s="46">
        <f t="shared" si="6"/>
        <v>95</v>
      </c>
      <c r="W29" s="106">
        <f>Summary!$C$20*K29+Summary!$C$21*L29+Summary!$C$22*M29+Summary!$C$23*N29+Summary!$C$24*O29+Summary!$C$25*P29+Summary!$C$26*Q29</f>
        <v>948.1</v>
      </c>
      <c r="X29" t="s">
        <v>72</v>
      </c>
      <c r="Y29">
        <v>12</v>
      </c>
      <c r="Z29">
        <v>87</v>
      </c>
      <c r="AJ29" s="30" t="s">
        <v>71</v>
      </c>
      <c r="AK29" s="30" t="s">
        <v>58</v>
      </c>
    </row>
    <row r="30" spans="1:37" x14ac:dyDescent="0.3">
      <c r="A30">
        <v>27</v>
      </c>
      <c r="B30" s="50">
        <f t="shared" si="0"/>
        <v>441.8814814814815</v>
      </c>
      <c r="C30" s="46">
        <f t="shared" si="2"/>
        <v>738.1185185185185</v>
      </c>
      <c r="D30" s="55">
        <f t="shared" si="3"/>
        <v>338.76851851851853</v>
      </c>
      <c r="E30" s="46">
        <f t="shared" si="3"/>
        <v>0</v>
      </c>
      <c r="F30" s="46">
        <f t="shared" si="3"/>
        <v>150</v>
      </c>
      <c r="G30" s="55">
        <f t="shared" si="3"/>
        <v>173.74999999999997</v>
      </c>
      <c r="H30" s="46">
        <f t="shared" si="3"/>
        <v>-0.40000000000000568</v>
      </c>
      <c r="I30" s="46">
        <f t="shared" si="3"/>
        <v>40</v>
      </c>
      <c r="J30" s="46">
        <f t="shared" si="3"/>
        <v>36</v>
      </c>
      <c r="K30" s="46">
        <v>69</v>
      </c>
      <c r="L30" s="46">
        <v>0</v>
      </c>
      <c r="M30" s="46">
        <v>0</v>
      </c>
      <c r="N30" s="46">
        <v>26</v>
      </c>
      <c r="O30" s="46">
        <v>0</v>
      </c>
      <c r="P30" s="46">
        <v>0</v>
      </c>
      <c r="Q30" s="46">
        <v>0</v>
      </c>
      <c r="R30" s="46" t="s">
        <v>54</v>
      </c>
      <c r="S30" s="46"/>
      <c r="T30" s="46">
        <v>95</v>
      </c>
      <c r="U30" s="46">
        <v>0</v>
      </c>
      <c r="V30" s="46">
        <f t="shared" si="6"/>
        <v>95</v>
      </c>
      <c r="W30" s="106">
        <f>Summary!$C$20*K30+Summary!$C$21*L30+Summary!$C$22*M30+Summary!$C$23*N30+Summary!$C$24*O30+Summary!$C$25*P30+Summary!$C$26*Q30</f>
        <v>1593.8899999999999</v>
      </c>
      <c r="X30" t="s">
        <v>72</v>
      </c>
      <c r="Y30">
        <v>95</v>
      </c>
      <c r="Z30">
        <v>95</v>
      </c>
      <c r="AJ30" s="30" t="s">
        <v>84</v>
      </c>
      <c r="AK30" s="30" t="s">
        <v>58</v>
      </c>
    </row>
    <row r="31" spans="1:37" x14ac:dyDescent="0.3">
      <c r="A31">
        <v>28</v>
      </c>
      <c r="B31" s="50">
        <f t="shared" si="0"/>
        <v>536.8814814814815</v>
      </c>
      <c r="C31" s="46">
        <f t="shared" si="2"/>
        <v>643.1185185185185</v>
      </c>
      <c r="D31" s="46">
        <f t="shared" si="3"/>
        <v>269.41851851851857</v>
      </c>
      <c r="E31" s="46">
        <f t="shared" si="3"/>
        <v>0</v>
      </c>
      <c r="F31" s="46">
        <f t="shared" si="3"/>
        <v>150</v>
      </c>
      <c r="G31" s="46">
        <f t="shared" si="3"/>
        <v>148.09999999999997</v>
      </c>
      <c r="H31" s="46">
        <f t="shared" si="3"/>
        <v>-0.40000000000000568</v>
      </c>
      <c r="I31" s="46">
        <f t="shared" si="3"/>
        <v>40</v>
      </c>
      <c r="J31" s="46">
        <f t="shared" si="3"/>
        <v>36</v>
      </c>
      <c r="K31" s="46">
        <f>95*0.73</f>
        <v>69.349999999999994</v>
      </c>
      <c r="L31" s="46">
        <v>0</v>
      </c>
      <c r="M31" s="46">
        <v>0</v>
      </c>
      <c r="N31" s="46">
        <f>95*0.27</f>
        <v>25.650000000000002</v>
      </c>
      <c r="O31" s="46">
        <v>0</v>
      </c>
      <c r="P31" s="46">
        <v>0</v>
      </c>
      <c r="Q31" s="46">
        <v>0</v>
      </c>
      <c r="R31" s="46" t="s">
        <v>54</v>
      </c>
      <c r="S31" s="46"/>
      <c r="T31" s="46">
        <v>55</v>
      </c>
      <c r="U31" s="46">
        <v>0</v>
      </c>
      <c r="V31" s="46">
        <f t="shared" si="6"/>
        <v>95</v>
      </c>
      <c r="W31" s="106">
        <f>Summary!$C$20*K31+Summary!$C$21*L31+Summary!$C$22*M31+Summary!$C$23*N31+Summary!$C$24*O31+Summary!$C$25*P31+Summary!$C$26*Q31</f>
        <v>1592.7035000000001</v>
      </c>
      <c r="X31" t="s">
        <v>72</v>
      </c>
      <c r="Y31">
        <v>55</v>
      </c>
      <c r="Z31">
        <v>95</v>
      </c>
      <c r="AK31" s="30" t="s">
        <v>63</v>
      </c>
    </row>
    <row r="32" spans="1:37" x14ac:dyDescent="0.3">
      <c r="A32">
        <v>29</v>
      </c>
      <c r="B32" s="50">
        <f t="shared" si="0"/>
        <v>101.88148148148139</v>
      </c>
      <c r="C32" s="46">
        <f t="shared" si="2"/>
        <v>1078.1185185185186</v>
      </c>
      <c r="D32" s="46">
        <f t="shared" si="3"/>
        <v>200.06851851851857</v>
      </c>
      <c r="E32" s="46">
        <f t="shared" si="3"/>
        <v>0</v>
      </c>
      <c r="F32" s="46">
        <f t="shared" si="3"/>
        <v>150</v>
      </c>
      <c r="G32" s="46">
        <f t="shared" si="3"/>
        <v>122.44999999999996</v>
      </c>
      <c r="H32" s="56">
        <f>H31-O32 + 150</f>
        <v>149.6</v>
      </c>
      <c r="I32" s="56">
        <f>I31-P32 + 100</f>
        <v>140</v>
      </c>
      <c r="J32" s="56">
        <f>J31-Q32 + 280</f>
        <v>316</v>
      </c>
      <c r="K32" s="46">
        <f>95*0.73</f>
        <v>69.349999999999994</v>
      </c>
      <c r="L32" s="46">
        <v>0</v>
      </c>
      <c r="M32" s="46">
        <v>0</v>
      </c>
      <c r="N32" s="46">
        <f>95*0.27</f>
        <v>25.650000000000002</v>
      </c>
      <c r="O32" s="46">
        <v>0</v>
      </c>
      <c r="P32" s="46">
        <v>0</v>
      </c>
      <c r="Q32" s="46">
        <v>0</v>
      </c>
      <c r="R32" s="46" t="s">
        <v>75</v>
      </c>
      <c r="S32" s="46"/>
      <c r="T32" s="46">
        <v>95</v>
      </c>
      <c r="U32" s="46">
        <v>0</v>
      </c>
      <c r="V32" s="46">
        <f t="shared" si="6"/>
        <v>95</v>
      </c>
      <c r="W32" s="106">
        <f>Summary!$C$20*K32+Summary!$C$21*L32+Summary!$C$22*M32+Summary!$C$23*N32+Summary!$C$24*O32+Summary!$C$25*P32+Summary!$C$26*Q32</f>
        <v>1592.7035000000001</v>
      </c>
      <c r="X32" t="s">
        <v>72</v>
      </c>
      <c r="Y32">
        <v>95</v>
      </c>
      <c r="Z32">
        <v>95</v>
      </c>
      <c r="AK32" s="30" t="s">
        <v>63</v>
      </c>
    </row>
    <row r="33" spans="1:37" x14ac:dyDescent="0.3">
      <c r="A33">
        <v>30</v>
      </c>
      <c r="B33" s="50">
        <f t="shared" si="0"/>
        <v>196.8814814814815</v>
      </c>
      <c r="C33" s="46">
        <f t="shared" si="2"/>
        <v>983.1185185185185</v>
      </c>
      <c r="D33" s="46">
        <f t="shared" si="3"/>
        <v>130.71851851851858</v>
      </c>
      <c r="E33" s="46">
        <f t="shared" si="3"/>
        <v>0</v>
      </c>
      <c r="F33" s="46">
        <f t="shared" si="3"/>
        <v>150</v>
      </c>
      <c r="G33" s="46">
        <f t="shared" si="3"/>
        <v>96.799999999999955</v>
      </c>
      <c r="H33" s="56">
        <f t="shared" si="3"/>
        <v>149.6</v>
      </c>
      <c r="I33" s="56">
        <f t="shared" si="3"/>
        <v>140</v>
      </c>
      <c r="J33" s="56">
        <f t="shared" si="3"/>
        <v>316</v>
      </c>
      <c r="K33" s="46">
        <f>95*0.73</f>
        <v>69.349999999999994</v>
      </c>
      <c r="L33" s="46">
        <v>0</v>
      </c>
      <c r="M33" s="46">
        <v>0</v>
      </c>
      <c r="N33" s="46">
        <f>95*0.27</f>
        <v>25.650000000000002</v>
      </c>
      <c r="O33" s="46">
        <v>0</v>
      </c>
      <c r="P33" s="46">
        <v>0</v>
      </c>
      <c r="Q33" s="46">
        <v>0</v>
      </c>
      <c r="R33" s="46" t="s">
        <v>75</v>
      </c>
      <c r="S33" s="46"/>
      <c r="T33" s="46">
        <v>95</v>
      </c>
      <c r="U33" s="46">
        <v>0</v>
      </c>
      <c r="V33" s="46">
        <f t="shared" si="6"/>
        <v>95</v>
      </c>
      <c r="W33" s="106">
        <f>Summary!$C$20*K33+Summary!$C$21*L33+Summary!$C$22*M33+Summary!$C$23*N33+Summary!$C$24*O33+Summary!$C$25*P33+Summary!$C$26*Q33</f>
        <v>1592.7035000000001</v>
      </c>
      <c r="X33" t="s">
        <v>72</v>
      </c>
      <c r="Y33">
        <v>95</v>
      </c>
      <c r="Z33">
        <v>95</v>
      </c>
      <c r="AK33" s="30" t="s">
        <v>71</v>
      </c>
    </row>
    <row r="34" spans="1:37" x14ac:dyDescent="0.3">
      <c r="A34">
        <v>31</v>
      </c>
      <c r="B34" s="50">
        <f t="shared" si="0"/>
        <v>291.8814814814815</v>
      </c>
      <c r="C34" s="46">
        <f t="shared" si="2"/>
        <v>888.1185185185185</v>
      </c>
      <c r="D34" s="46">
        <f t="shared" si="3"/>
        <v>61.368518518518584</v>
      </c>
      <c r="E34" s="46">
        <f t="shared" si="3"/>
        <v>0</v>
      </c>
      <c r="F34" s="46">
        <f t="shared" si="3"/>
        <v>150</v>
      </c>
      <c r="G34" s="46">
        <f t="shared" si="3"/>
        <v>71.149999999999949</v>
      </c>
      <c r="H34" s="56">
        <f t="shared" si="3"/>
        <v>149.6</v>
      </c>
      <c r="I34" s="56">
        <f t="shared" si="3"/>
        <v>140</v>
      </c>
      <c r="J34" s="56">
        <f t="shared" si="3"/>
        <v>316</v>
      </c>
      <c r="K34" s="46">
        <f>95*0.73</f>
        <v>69.349999999999994</v>
      </c>
      <c r="L34" s="46">
        <v>0</v>
      </c>
      <c r="M34" s="46">
        <v>0</v>
      </c>
      <c r="N34" s="46">
        <f>95*0.27</f>
        <v>25.650000000000002</v>
      </c>
      <c r="O34" s="46">
        <v>0</v>
      </c>
      <c r="P34" s="46">
        <v>0</v>
      </c>
      <c r="Q34" s="46">
        <v>0</v>
      </c>
      <c r="R34" s="46"/>
      <c r="S34" s="46"/>
      <c r="T34" s="46"/>
      <c r="U34" s="46"/>
      <c r="V34" s="46">
        <f t="shared" si="6"/>
        <v>95</v>
      </c>
      <c r="W34" s="106">
        <f>Summary!$C$20*K34+Summary!$C$21*L34+Summary!$C$22*M34+Summary!$C$23*N34+Summary!$C$24*O34+Summary!$C$25*P34+Summary!$C$26*Q34</f>
        <v>1592.7035000000001</v>
      </c>
      <c r="AK34" s="30" t="s">
        <v>71</v>
      </c>
    </row>
    <row r="35" spans="1:37" x14ac:dyDescent="0.3">
      <c r="A35">
        <v>32</v>
      </c>
      <c r="B35" s="50">
        <f t="shared" si="0"/>
        <v>386.44312531709795</v>
      </c>
      <c r="C35" s="46">
        <f t="shared" si="2"/>
        <v>793.55687468290205</v>
      </c>
      <c r="D35" s="46">
        <f t="shared" si="3"/>
        <v>0.36851851851858441</v>
      </c>
      <c r="E35" s="46">
        <f t="shared" si="3"/>
        <v>0</v>
      </c>
      <c r="F35" s="46">
        <f t="shared" si="3"/>
        <v>150</v>
      </c>
      <c r="G35" s="46">
        <f t="shared" si="3"/>
        <v>48.588356164383512</v>
      </c>
      <c r="H35" s="56">
        <f t="shared" si="3"/>
        <v>149.6</v>
      </c>
      <c r="I35" s="56">
        <f t="shared" si="3"/>
        <v>129</v>
      </c>
      <c r="J35" s="56">
        <f t="shared" si="3"/>
        <v>316</v>
      </c>
      <c r="K35" s="46">
        <v>61</v>
      </c>
      <c r="L35" s="46">
        <v>0</v>
      </c>
      <c r="M35" s="46">
        <v>0</v>
      </c>
      <c r="N35" s="46">
        <f>61/73*27</f>
        <v>22.56164383561644</v>
      </c>
      <c r="O35" s="46">
        <v>0</v>
      </c>
      <c r="P35" s="46">
        <f>95-84</f>
        <v>11</v>
      </c>
      <c r="Q35" s="46">
        <v>0</v>
      </c>
      <c r="R35" s="46"/>
      <c r="S35" s="46"/>
      <c r="T35" s="46"/>
      <c r="U35" s="46"/>
      <c r="V35" s="46">
        <f t="shared" si="6"/>
        <v>94.561643835616437</v>
      </c>
      <c r="W35" s="106">
        <f>Summary!$C$20*K35+Summary!$C$21*L35+Summary!$C$22*M35+Summary!$C$23*N35+Summary!$C$24*O35+Summary!$C$25*P35+Summary!$C$26*Q35</f>
        <v>1510.7160273972602</v>
      </c>
      <c r="AK35" s="30" t="s">
        <v>71</v>
      </c>
    </row>
    <row r="36" spans="1:37" x14ac:dyDescent="0.3">
      <c r="A36">
        <v>33</v>
      </c>
      <c r="B36" s="50">
        <f t="shared" si="0"/>
        <v>481.44312531709795</v>
      </c>
      <c r="C36" s="46">
        <f t="shared" si="2"/>
        <v>698.55687468290205</v>
      </c>
      <c r="D36" s="46">
        <f t="shared" si="3"/>
        <v>0.36851851851858441</v>
      </c>
      <c r="E36" s="46">
        <f t="shared" si="3"/>
        <v>0</v>
      </c>
      <c r="F36" s="46">
        <f t="shared" si="3"/>
        <v>150</v>
      </c>
      <c r="G36" s="46">
        <f t="shared" si="3"/>
        <v>48.588356164383512</v>
      </c>
      <c r="H36" s="55">
        <f t="shared" si="3"/>
        <v>149.6</v>
      </c>
      <c r="I36" s="55">
        <f t="shared" si="3"/>
        <v>34</v>
      </c>
      <c r="J36" s="55">
        <f t="shared" si="3"/>
        <v>316</v>
      </c>
      <c r="K36" s="46"/>
      <c r="L36" s="46">
        <v>0</v>
      </c>
      <c r="M36" s="46">
        <v>0</v>
      </c>
      <c r="N36" s="46">
        <f>(K36/73)*27</f>
        <v>0</v>
      </c>
      <c r="O36" s="46">
        <v>0</v>
      </c>
      <c r="P36" s="46">
        <f>95-N36-K36</f>
        <v>95</v>
      </c>
      <c r="Q36" s="46">
        <v>0</v>
      </c>
      <c r="R36" s="46"/>
      <c r="S36" s="46"/>
      <c r="T36" s="46"/>
      <c r="U36" s="46"/>
      <c r="V36" s="46">
        <f t="shared" si="6"/>
        <v>95</v>
      </c>
      <c r="W36" s="106">
        <f>Summary!$C$20*K36+Summary!$C$21*L36+Summary!$C$22*M36+Summary!$C$23*N36+Summary!$C$24*O36+Summary!$C$25*P36+Summary!$C$26*Q36</f>
        <v>948.1</v>
      </c>
      <c r="AK36" s="30" t="s">
        <v>85</v>
      </c>
    </row>
    <row r="37" spans="1:37" x14ac:dyDescent="0.3">
      <c r="A37">
        <v>34</v>
      </c>
      <c r="B37" s="50">
        <f t="shared" si="0"/>
        <v>576.44312531709795</v>
      </c>
      <c r="C37" s="46">
        <f t="shared" si="2"/>
        <v>603.55687468290205</v>
      </c>
      <c r="D37" s="46">
        <f t="shared" si="3"/>
        <v>0.36851851851858441</v>
      </c>
      <c r="E37" s="46">
        <f t="shared" si="3"/>
        <v>0</v>
      </c>
      <c r="F37" s="46">
        <f t="shared" si="3"/>
        <v>150</v>
      </c>
      <c r="G37" s="46">
        <f t="shared" si="3"/>
        <v>48.588356164383512</v>
      </c>
      <c r="H37" s="46">
        <f t="shared" si="3"/>
        <v>149.6</v>
      </c>
      <c r="I37" s="46">
        <f t="shared" si="3"/>
        <v>34</v>
      </c>
      <c r="J37" s="46">
        <f t="shared" si="3"/>
        <v>221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v>0</v>
      </c>
      <c r="Q37" s="46">
        <f>95-P37</f>
        <v>95</v>
      </c>
      <c r="R37" s="46"/>
      <c r="S37" s="46"/>
      <c r="T37" s="46"/>
      <c r="U37" s="46"/>
      <c r="V37" s="46">
        <f>SUM(K37:Q37)</f>
        <v>95</v>
      </c>
      <c r="W37" s="106">
        <f>Summary!$C$20*K37+Summary!$C$21*L37+Summary!$C$22*M37+Summary!$C$23*N37+Summary!$C$24*O37+Summary!$C$25*P37+Summary!$C$26*Q37</f>
        <v>947.15000000000009</v>
      </c>
    </row>
    <row r="38" spans="1:37" x14ac:dyDescent="0.3">
      <c r="A38">
        <v>35</v>
      </c>
      <c r="B38" s="50">
        <f t="shared" si="0"/>
        <v>671.44312531709795</v>
      </c>
      <c r="C38" s="46">
        <f t="shared" si="2"/>
        <v>508.55687468290205</v>
      </c>
      <c r="D38" s="46">
        <f t="shared" si="3"/>
        <v>0.36851851851858441</v>
      </c>
      <c r="E38" s="46">
        <f t="shared" si="3"/>
        <v>0</v>
      </c>
      <c r="F38" s="46">
        <f t="shared" si="3"/>
        <v>150</v>
      </c>
      <c r="G38" s="46">
        <f t="shared" si="3"/>
        <v>48.588356164383512</v>
      </c>
      <c r="H38" s="46">
        <f t="shared" si="3"/>
        <v>149.6</v>
      </c>
      <c r="I38" s="46">
        <f t="shared" si="3"/>
        <v>34</v>
      </c>
      <c r="J38" s="46">
        <f t="shared" si="3"/>
        <v>126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46">
        <v>0</v>
      </c>
      <c r="Q38" s="46">
        <v>95</v>
      </c>
      <c r="R38" s="46"/>
      <c r="S38" s="46"/>
      <c r="T38" s="46"/>
      <c r="U38" s="46"/>
      <c r="V38" s="46">
        <f t="shared" si="6"/>
        <v>95</v>
      </c>
      <c r="W38" s="106">
        <f>Summary!$C$20*K38+Summary!$C$21*L38+Summary!$C$22*M38+Summary!$C$23*N38+Summary!$C$24*O38+Summary!$C$25*P38+Summary!$C$26*Q38</f>
        <v>947.15000000000009</v>
      </c>
    </row>
    <row r="39" spans="1:37" x14ac:dyDescent="0.3">
      <c r="A39">
        <v>36</v>
      </c>
      <c r="B39" s="50">
        <f t="shared" si="0"/>
        <v>766.44312531709795</v>
      </c>
      <c r="C39" s="46">
        <f t="shared" si="2"/>
        <v>413.55687468290205</v>
      </c>
      <c r="D39" s="46">
        <f t="shared" si="3"/>
        <v>0.36851851851858441</v>
      </c>
      <c r="E39" s="46">
        <f t="shared" si="3"/>
        <v>0</v>
      </c>
      <c r="F39" s="46">
        <f t="shared" si="3"/>
        <v>150</v>
      </c>
      <c r="G39" s="46">
        <f t="shared" si="3"/>
        <v>48.588356164383512</v>
      </c>
      <c r="H39" s="46">
        <f t="shared" si="3"/>
        <v>149.6</v>
      </c>
      <c r="I39" s="46">
        <f t="shared" si="3"/>
        <v>34</v>
      </c>
      <c r="J39" s="46">
        <f t="shared" si="3"/>
        <v>31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95</v>
      </c>
      <c r="R39" s="46"/>
      <c r="S39" s="46"/>
      <c r="T39" s="46"/>
      <c r="U39" s="46"/>
      <c r="V39" s="46">
        <f t="shared" si="6"/>
        <v>95</v>
      </c>
      <c r="W39" s="106">
        <f>Summary!$C$20*K39+Summary!$C$21*L39+Summary!$C$22*M39+Summary!$C$23*N39+Summary!$C$24*O39+Summary!$C$25*P39+Summary!$C$26*Q39</f>
        <v>947.15000000000009</v>
      </c>
    </row>
    <row r="40" spans="1:37" x14ac:dyDescent="0.3">
      <c r="A40">
        <v>37</v>
      </c>
      <c r="B40" s="50">
        <f t="shared" si="0"/>
        <v>861.44312531709795</v>
      </c>
      <c r="C40" s="46">
        <f t="shared" si="2"/>
        <v>318.55687468290205</v>
      </c>
      <c r="D40" s="46">
        <f t="shared" si="3"/>
        <v>0.36851851851858441</v>
      </c>
      <c r="E40" s="46">
        <f t="shared" si="3"/>
        <v>0</v>
      </c>
      <c r="F40" s="46">
        <f t="shared" si="3"/>
        <v>93</v>
      </c>
      <c r="G40" s="46">
        <f t="shared" si="3"/>
        <v>48.588356164383512</v>
      </c>
      <c r="H40" s="46">
        <f t="shared" si="3"/>
        <v>111.6</v>
      </c>
      <c r="I40" s="46">
        <f t="shared" si="3"/>
        <v>34</v>
      </c>
      <c r="J40" s="46">
        <f t="shared" si="3"/>
        <v>31</v>
      </c>
      <c r="K40" s="46">
        <v>0</v>
      </c>
      <c r="L40" s="46">
        <v>0</v>
      </c>
      <c r="M40" s="46">
        <f>(95-Q40)*0.6</f>
        <v>57</v>
      </c>
      <c r="N40" s="46">
        <v>0</v>
      </c>
      <c r="O40" s="46">
        <f>(95-Q40)*0.4</f>
        <v>38</v>
      </c>
      <c r="P40" s="46">
        <v>0</v>
      </c>
      <c r="Q40" s="46">
        <v>0</v>
      </c>
      <c r="R40" s="46"/>
      <c r="S40" s="46"/>
      <c r="T40" s="46"/>
      <c r="U40" s="46"/>
      <c r="V40" s="46">
        <f t="shared" si="6"/>
        <v>95</v>
      </c>
      <c r="W40" s="106">
        <f>Summary!$C$20*K40+Summary!$C$21*L40+Summary!$C$22*M40+Summary!$C$23*N40+Summary!$C$24*O40+Summary!$C$25*P40+Summary!$C$26*Q40</f>
        <v>1320.69</v>
      </c>
    </row>
    <row r="41" spans="1:37" x14ac:dyDescent="0.3">
      <c r="A41">
        <v>38</v>
      </c>
      <c r="B41" s="50">
        <f t="shared" si="0"/>
        <v>956.84312531709793</v>
      </c>
      <c r="C41" s="46">
        <f t="shared" si="2"/>
        <v>223.15687468290207</v>
      </c>
      <c r="D41" s="46">
        <f t="shared" si="3"/>
        <v>0.36851851851858441</v>
      </c>
      <c r="E41" s="46">
        <f t="shared" si="3"/>
        <v>0</v>
      </c>
      <c r="F41" s="46">
        <f t="shared" si="3"/>
        <v>36</v>
      </c>
      <c r="G41" s="46">
        <f t="shared" si="3"/>
        <v>48.588356164383512</v>
      </c>
      <c r="H41" s="46">
        <f t="shared" si="3"/>
        <v>73.199999999999989</v>
      </c>
      <c r="I41" s="46">
        <f t="shared" si="3"/>
        <v>34</v>
      </c>
      <c r="J41" s="46">
        <f t="shared" si="3"/>
        <v>31</v>
      </c>
      <c r="K41" s="46">
        <v>0</v>
      </c>
      <c r="L41" s="46">
        <v>0</v>
      </c>
      <c r="M41" s="46">
        <f>95*0.6</f>
        <v>57</v>
      </c>
      <c r="N41" s="46">
        <v>0</v>
      </c>
      <c r="O41" s="46">
        <f>96*0.4</f>
        <v>38.400000000000006</v>
      </c>
      <c r="P41" s="46">
        <v>0</v>
      </c>
      <c r="Q41" s="46">
        <v>0</v>
      </c>
      <c r="R41" s="46"/>
      <c r="S41" s="46"/>
      <c r="T41" s="46"/>
      <c r="U41" s="46"/>
      <c r="V41" s="46">
        <f t="shared" si="6"/>
        <v>95.4</v>
      </c>
      <c r="W41" s="106">
        <f>Summary!$C$20*K41+Summary!$C$21*L41+Summary!$C$22*M41+Summary!$C$23*N41+Summary!$C$24*O41+Summary!$C$25*P41+Summary!$C$26*Q41</f>
        <v>1325.1660000000002</v>
      </c>
    </row>
    <row r="42" spans="1:37" x14ac:dyDescent="0.3">
      <c r="A42">
        <v>39</v>
      </c>
      <c r="B42" s="50">
        <f t="shared" si="0"/>
        <v>1051.8431253170979</v>
      </c>
      <c r="C42" s="46">
        <f t="shared" si="2"/>
        <v>128.15687468290207</v>
      </c>
      <c r="D42" s="46">
        <f t="shared" si="3"/>
        <v>0.36851851851858441</v>
      </c>
      <c r="E42" s="46">
        <f t="shared" si="3"/>
        <v>0</v>
      </c>
      <c r="F42" s="46">
        <f t="shared" si="3"/>
        <v>0</v>
      </c>
      <c r="G42" s="46">
        <f t="shared" si="3"/>
        <v>48.588356164383512</v>
      </c>
      <c r="H42" s="46">
        <f t="shared" si="3"/>
        <v>49.199999999999989</v>
      </c>
      <c r="I42" s="46">
        <f t="shared" si="3"/>
        <v>0</v>
      </c>
      <c r="J42" s="46">
        <f t="shared" si="3"/>
        <v>30</v>
      </c>
      <c r="K42" s="46">
        <v>0</v>
      </c>
      <c r="L42" s="46">
        <v>0</v>
      </c>
      <c r="M42" s="46">
        <v>36</v>
      </c>
      <c r="N42" s="46">
        <v>0</v>
      </c>
      <c r="O42" s="46">
        <f>36/60*40</f>
        <v>24</v>
      </c>
      <c r="P42" s="46">
        <v>34</v>
      </c>
      <c r="Q42" s="46">
        <v>1</v>
      </c>
      <c r="R42" s="46"/>
      <c r="S42" s="46"/>
      <c r="T42" s="46"/>
      <c r="U42" s="46"/>
      <c r="V42" s="46">
        <f t="shared" si="6"/>
        <v>95</v>
      </c>
      <c r="W42" s="106">
        <f>Summary!$C$20*K42+Summary!$C$21*L42+Summary!$C$22*M42+Summary!$C$23*N42+Summary!$C$24*O42+Summary!$C$25*P42+Summary!$C$26*Q42</f>
        <v>1183.4100000000001</v>
      </c>
    </row>
    <row r="43" spans="1:37" x14ac:dyDescent="0.3">
      <c r="A43">
        <v>40</v>
      </c>
      <c r="B43" s="50">
        <f t="shared" si="0"/>
        <v>1081.8431253170979</v>
      </c>
      <c r="C43" s="46">
        <f t="shared" si="2"/>
        <v>98.156874682902085</v>
      </c>
      <c r="D43" s="46">
        <f t="shared" si="3"/>
        <v>0.36851851851858441</v>
      </c>
      <c r="E43" s="46">
        <f t="shared" si="3"/>
        <v>0</v>
      </c>
      <c r="F43" s="46">
        <f t="shared" si="3"/>
        <v>0</v>
      </c>
      <c r="G43" s="46">
        <f t="shared" si="3"/>
        <v>48.588356164383512</v>
      </c>
      <c r="H43" s="46">
        <f t="shared" si="3"/>
        <v>49.199999999999989</v>
      </c>
      <c r="I43" s="46">
        <f t="shared" si="3"/>
        <v>0</v>
      </c>
      <c r="J43" s="46">
        <f>J42-Q43</f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30</v>
      </c>
      <c r="R43" s="46"/>
      <c r="S43" s="46"/>
      <c r="T43" s="46"/>
      <c r="U43" s="46"/>
      <c r="V43" s="46">
        <f t="shared" si="6"/>
        <v>30</v>
      </c>
      <c r="W43" s="106">
        <f>Summary!$C$20*K43+Summary!$C$21*L43+Summary!$C$22*M43+Summary!$C$23*N43+Summary!$C$24*O43+Summary!$C$25*P43+Summary!$C$26*Q43</f>
        <v>299.10000000000002</v>
      </c>
    </row>
    <row r="44" spans="1:37" x14ac:dyDescent="0.3"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109">
        <f>SUM(W4:W43)</f>
        <v>48301.77100887875</v>
      </c>
      <c r="AG44" s="30" t="s">
        <v>112</v>
      </c>
    </row>
    <row r="45" spans="1:37" x14ac:dyDescent="0.3">
      <c r="Q45" s="40" t="s">
        <v>86</v>
      </c>
      <c r="V45" s="113">
        <f>AVERAGE(V4:V33)</f>
        <v>94.229382716049386</v>
      </c>
      <c r="W45" t="s">
        <v>87</v>
      </c>
      <c r="AG45" s="35">
        <f>V45-'Base Case (Working)'!V47</f>
        <v>0.36271604938272617</v>
      </c>
      <c r="AH45" s="28" t="s">
        <v>87</v>
      </c>
    </row>
    <row r="46" spans="1:37" x14ac:dyDescent="0.3">
      <c r="Q46" s="40" t="s">
        <v>113</v>
      </c>
      <c r="V46" s="113">
        <f>AVERAGE(V4:V42)</f>
        <v>94.406233982489695</v>
      </c>
      <c r="W46" t="s">
        <v>87</v>
      </c>
      <c r="AG46" s="35">
        <f>V46-'Base Case (Working)'!V48</f>
        <v>1.5312339824896952</v>
      </c>
    </row>
    <row r="47" spans="1:37" x14ac:dyDescent="0.3">
      <c r="Q47" s="40"/>
      <c r="W47" s="28"/>
      <c r="AG47" s="29" t="s">
        <v>114</v>
      </c>
    </row>
    <row r="48" spans="1:37" x14ac:dyDescent="0.3">
      <c r="Q48" s="40" t="s">
        <v>89</v>
      </c>
      <c r="V48" s="114">
        <f>SUM(V4:V43)</f>
        <v>3711.8431253170979</v>
      </c>
      <c r="W48" t="s">
        <v>90</v>
      </c>
    </row>
    <row r="49" spans="17:34" x14ac:dyDescent="0.3">
      <c r="Q49" s="40" t="s">
        <v>91</v>
      </c>
      <c r="V49" s="15">
        <f>C3</f>
        <v>1050</v>
      </c>
      <c r="W49" t="s">
        <v>90</v>
      </c>
    </row>
    <row r="50" spans="17:34" x14ac:dyDescent="0.3">
      <c r="Q50" s="40" t="s">
        <v>92</v>
      </c>
      <c r="V50" s="15">
        <f>2910-150</f>
        <v>2760</v>
      </c>
      <c r="W50" t="s">
        <v>90</v>
      </c>
      <c r="AH50" s="30">
        <f>V49+V50</f>
        <v>3810</v>
      </c>
    </row>
    <row r="51" spans="17:34" x14ac:dyDescent="0.3">
      <c r="Q51" s="40" t="s">
        <v>93</v>
      </c>
      <c r="V51" s="15">
        <f>C44</f>
        <v>0</v>
      </c>
      <c r="W51" t="s">
        <v>90</v>
      </c>
      <c r="AG51" s="44">
        <f>V49+V50-V46*39</f>
        <v>128.15687468290207</v>
      </c>
      <c r="AH51" s="43">
        <f>AH50-V48</f>
        <v>98.156874682902071</v>
      </c>
    </row>
    <row r="53" spans="17:34" x14ac:dyDescent="0.3">
      <c r="Q53" s="40" t="s">
        <v>73</v>
      </c>
      <c r="V53" s="27">
        <v>1</v>
      </c>
      <c r="W53" t="s">
        <v>95</v>
      </c>
    </row>
    <row r="55" spans="17:34" x14ac:dyDescent="0.3">
      <c r="Q55" s="40" t="s">
        <v>115</v>
      </c>
      <c r="V55" t="s">
        <v>116</v>
      </c>
      <c r="W55" s="15"/>
    </row>
    <row r="56" spans="17:34" x14ac:dyDescent="0.3">
      <c r="V56" t="s">
        <v>117</v>
      </c>
    </row>
    <row r="57" spans="17:34" x14ac:dyDescent="0.3">
      <c r="V57" t="s">
        <v>118</v>
      </c>
    </row>
    <row r="58" spans="17:34" x14ac:dyDescent="0.3">
      <c r="V58" t="s">
        <v>119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9E6E-2721-46EC-B60D-F89CF27E475B}">
  <dimension ref="A1:AN58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J48" sqref="J48"/>
    </sheetView>
  </sheetViews>
  <sheetFormatPr defaultRowHeight="14.4" x14ac:dyDescent="0.3"/>
  <cols>
    <col min="1" max="1" width="7.33203125" customWidth="1"/>
    <col min="2" max="2" width="8.33203125" customWidth="1"/>
    <col min="3" max="3" width="9.6640625" customWidth="1"/>
    <col min="4" max="11" width="11.33203125" customWidth="1"/>
    <col min="12" max="19" width="9.6640625" customWidth="1"/>
    <col min="20" max="20" width="13.44140625" hidden="1" customWidth="1"/>
    <col min="21" max="21" width="15.5546875" hidden="1" customWidth="1"/>
    <col min="22" max="22" width="12.88671875" hidden="1" customWidth="1"/>
    <col min="23" max="23" width="14.109375" hidden="1" customWidth="1"/>
    <col min="24" max="24" width="12" customWidth="1"/>
    <col min="25" max="25" width="12.88671875" customWidth="1"/>
    <col min="26" max="28" width="15.6640625" hidden="1" customWidth="1"/>
    <col min="29" max="29" width="8.6640625" hidden="1" customWidth="1"/>
    <col min="30" max="33" width="9.109375" hidden="1" customWidth="1"/>
    <col min="34" max="34" width="13.33203125" customWidth="1"/>
    <col min="35" max="35" width="15.44140625" customWidth="1"/>
    <col min="36" max="36" width="16.109375" customWidth="1"/>
    <col min="37" max="37" width="15.33203125" customWidth="1"/>
    <col min="38" max="38" width="19" customWidth="1"/>
    <col min="39" max="39" width="28.33203125" customWidth="1"/>
  </cols>
  <sheetData>
    <row r="1" spans="1:40" x14ac:dyDescent="0.3">
      <c r="B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120</v>
      </c>
      <c r="M1" s="58"/>
    </row>
    <row r="2" spans="1:40" s="42" customFormat="1" ht="28.8" x14ac:dyDescent="0.3">
      <c r="A2" s="7" t="s">
        <v>16</v>
      </c>
      <c r="B2" s="7" t="s">
        <v>17</v>
      </c>
      <c r="C2" s="7" t="s">
        <v>109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121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30</v>
      </c>
      <c r="Q2" s="7" t="s">
        <v>31</v>
      </c>
      <c r="R2" s="7" t="s">
        <v>32</v>
      </c>
      <c r="S2" s="7" t="s">
        <v>122</v>
      </c>
      <c r="T2" s="7" t="s">
        <v>33</v>
      </c>
      <c r="U2" s="7" t="s">
        <v>34</v>
      </c>
      <c r="V2" s="7" t="s">
        <v>35</v>
      </c>
      <c r="W2" s="7" t="s">
        <v>36</v>
      </c>
      <c r="X2" s="7" t="s">
        <v>37</v>
      </c>
      <c r="Y2" s="7" t="s">
        <v>209</v>
      </c>
      <c r="Z2" s="7" t="s">
        <v>38</v>
      </c>
      <c r="AA2" s="7" t="s">
        <v>39</v>
      </c>
      <c r="AB2" s="7" t="s">
        <v>40</v>
      </c>
      <c r="AC2" s="8" t="s">
        <v>41</v>
      </c>
      <c r="AD2" s="8" t="s">
        <v>42</v>
      </c>
      <c r="AE2" s="8" t="s">
        <v>43</v>
      </c>
      <c r="AF2" s="8" t="s">
        <v>44</v>
      </c>
      <c r="AG2" s="8" t="s">
        <v>45</v>
      </c>
      <c r="AH2" s="7" t="s">
        <v>46</v>
      </c>
      <c r="AI2" s="7" t="s">
        <v>47</v>
      </c>
      <c r="AJ2" s="7" t="s">
        <v>48</v>
      </c>
      <c r="AK2" s="7" t="s">
        <v>49</v>
      </c>
      <c r="AL2" s="7" t="s">
        <v>50</v>
      </c>
      <c r="AM2" s="7" t="s">
        <v>51</v>
      </c>
      <c r="AN2" s="7" t="s">
        <v>52</v>
      </c>
    </row>
    <row r="3" spans="1:40" x14ac:dyDescent="0.3">
      <c r="A3" s="41">
        <v>0</v>
      </c>
      <c r="B3" s="51">
        <f>1180-C3</f>
        <v>130</v>
      </c>
      <c r="C3" s="59">
        <f>SUM(D3:K3)</f>
        <v>1050</v>
      </c>
      <c r="D3" s="57">
        <v>350</v>
      </c>
      <c r="E3" s="57">
        <v>0</v>
      </c>
      <c r="F3" s="57">
        <v>150</v>
      </c>
      <c r="G3" s="57">
        <v>150</v>
      </c>
      <c r="H3" s="57">
        <v>100</v>
      </c>
      <c r="I3" s="57">
        <v>0</v>
      </c>
      <c r="J3" s="57">
        <v>300</v>
      </c>
      <c r="K3" s="57">
        <v>0</v>
      </c>
      <c r="L3" s="57">
        <v>0</v>
      </c>
      <c r="M3" s="57">
        <v>0</v>
      </c>
      <c r="N3" s="57">
        <v>0</v>
      </c>
      <c r="O3" s="57">
        <v>0</v>
      </c>
      <c r="P3" s="57">
        <v>0</v>
      </c>
      <c r="Q3" s="57">
        <v>0</v>
      </c>
      <c r="R3" s="57">
        <v>0</v>
      </c>
      <c r="S3" s="57">
        <v>0</v>
      </c>
      <c r="T3" s="57"/>
      <c r="U3" s="57"/>
      <c r="V3" s="57"/>
      <c r="W3" s="57"/>
      <c r="X3" s="57">
        <v>0</v>
      </c>
      <c r="Y3" s="78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40" x14ac:dyDescent="0.3">
      <c r="A4">
        <v>1</v>
      </c>
      <c r="B4" s="51">
        <f>1180-C4</f>
        <v>225</v>
      </c>
      <c r="C4" s="51">
        <f>SUM(D4:K4)</f>
        <v>955</v>
      </c>
      <c r="D4" s="46">
        <f>D3-L4</f>
        <v>280.64999999999998</v>
      </c>
      <c r="E4" s="46">
        <f t="shared" ref="E4:K19" si="0">E3-M4</f>
        <v>0</v>
      </c>
      <c r="F4" s="46">
        <f t="shared" si="0"/>
        <v>150</v>
      </c>
      <c r="G4" s="46">
        <f t="shared" si="0"/>
        <v>124.35</v>
      </c>
      <c r="H4" s="46">
        <f t="shared" si="0"/>
        <v>100</v>
      </c>
      <c r="I4" s="46">
        <f t="shared" si="0"/>
        <v>0</v>
      </c>
      <c r="J4" s="46">
        <f t="shared" si="0"/>
        <v>300</v>
      </c>
      <c r="K4" s="46">
        <f t="shared" si="0"/>
        <v>0</v>
      </c>
      <c r="L4" s="46">
        <f>95*0.73</f>
        <v>69.349999999999994</v>
      </c>
      <c r="M4" s="46">
        <v>0</v>
      </c>
      <c r="N4" s="46">
        <v>0</v>
      </c>
      <c r="O4" s="46">
        <f>95*0.27</f>
        <v>25.650000000000002</v>
      </c>
      <c r="P4" s="46">
        <v>0</v>
      </c>
      <c r="Q4" s="46">
        <v>0</v>
      </c>
      <c r="R4" s="46">
        <v>0</v>
      </c>
      <c r="S4" s="46">
        <v>0</v>
      </c>
      <c r="T4" s="46" t="s">
        <v>53</v>
      </c>
      <c r="U4" s="46" t="s">
        <v>54</v>
      </c>
      <c r="V4" s="46">
        <v>57.599999999999987</v>
      </c>
      <c r="W4" s="46">
        <v>38.4</v>
      </c>
      <c r="X4" s="46">
        <f>SUM(L4:S4)</f>
        <v>95</v>
      </c>
      <c r="Y4" s="106">
        <f>Summary!$C$20*M4+Summary!$C$21*N4+Summary!$C$22*O4+Summary!$C$23*P4+Summary!$C$24*Q4+Summary!$C$25*R4+Summary!$C$26*S4</f>
        <v>402.96150000000006</v>
      </c>
      <c r="Z4" t="s">
        <v>55</v>
      </c>
      <c r="AA4">
        <v>96</v>
      </c>
      <c r="AB4">
        <v>96</v>
      </c>
      <c r="AI4" s="5"/>
      <c r="AJ4" s="5"/>
      <c r="AK4" s="5"/>
      <c r="AL4" s="5"/>
      <c r="AM4" s="5"/>
    </row>
    <row r="5" spans="1:40" x14ac:dyDescent="0.3">
      <c r="A5">
        <v>2</v>
      </c>
      <c r="B5" s="51">
        <f t="shared" ref="B5:B43" si="1">1180-C5</f>
        <v>320</v>
      </c>
      <c r="C5" s="51">
        <f t="shared" ref="C5:C43" si="2">SUM(D5:K5)</f>
        <v>860</v>
      </c>
      <c r="D5" s="46">
        <f t="shared" ref="D5:K43" si="3">D4-L5</f>
        <v>211.29999999999998</v>
      </c>
      <c r="E5" s="46">
        <f t="shared" si="0"/>
        <v>0</v>
      </c>
      <c r="F5" s="46">
        <f t="shared" si="0"/>
        <v>150</v>
      </c>
      <c r="G5" s="46">
        <f t="shared" si="0"/>
        <v>98.699999999999989</v>
      </c>
      <c r="H5" s="46">
        <f t="shared" si="0"/>
        <v>100</v>
      </c>
      <c r="I5" s="46">
        <f t="shared" si="0"/>
        <v>0</v>
      </c>
      <c r="J5" s="46">
        <f t="shared" si="0"/>
        <v>300</v>
      </c>
      <c r="K5" s="46">
        <f t="shared" si="0"/>
        <v>0</v>
      </c>
      <c r="L5" s="46">
        <f t="shared" ref="L5:L8" si="4">95*0.73</f>
        <v>69.349999999999994</v>
      </c>
      <c r="M5" s="46">
        <v>0</v>
      </c>
      <c r="N5" s="46">
        <v>0</v>
      </c>
      <c r="O5" s="46">
        <f t="shared" ref="O5:O8" si="5">95*0.27</f>
        <v>25.650000000000002</v>
      </c>
      <c r="P5" s="46">
        <v>0</v>
      </c>
      <c r="Q5" s="46">
        <v>0</v>
      </c>
      <c r="R5" s="46">
        <v>0</v>
      </c>
      <c r="S5" s="46">
        <v>0</v>
      </c>
      <c r="T5" s="46" t="s">
        <v>53</v>
      </c>
      <c r="U5" s="46" t="s">
        <v>54</v>
      </c>
      <c r="V5" s="46">
        <v>57.599999999999987</v>
      </c>
      <c r="W5" s="46">
        <v>38.4</v>
      </c>
      <c r="X5" s="46">
        <f t="shared" ref="X5:X43" si="6">SUM(L5:S5)</f>
        <v>95</v>
      </c>
      <c r="Y5" s="106">
        <f>Summary!$C$20*M5+Summary!$C$21*N5+Summary!$C$22*O5+Summary!$C$23*P5+Summary!$C$24*Q5+Summary!$C$25*R5+Summary!$C$26*S5</f>
        <v>402.96150000000006</v>
      </c>
      <c r="Z5" t="s">
        <v>55</v>
      </c>
      <c r="AA5">
        <v>96</v>
      </c>
      <c r="AB5">
        <v>96</v>
      </c>
      <c r="AH5" s="30" t="s">
        <v>56</v>
      </c>
      <c r="AI5" s="5"/>
      <c r="AJ5" s="5"/>
      <c r="AK5" s="5"/>
      <c r="AL5" s="5"/>
      <c r="AM5" s="5"/>
    </row>
    <row r="6" spans="1:40" x14ac:dyDescent="0.3">
      <c r="A6">
        <v>3</v>
      </c>
      <c r="B6" s="51">
        <f t="shared" si="1"/>
        <v>415</v>
      </c>
      <c r="C6" s="51">
        <f t="shared" si="2"/>
        <v>765</v>
      </c>
      <c r="D6" s="46">
        <f t="shared" si="3"/>
        <v>141.94999999999999</v>
      </c>
      <c r="E6" s="46">
        <f t="shared" si="0"/>
        <v>0</v>
      </c>
      <c r="F6" s="46">
        <f t="shared" si="0"/>
        <v>150</v>
      </c>
      <c r="G6" s="46">
        <f t="shared" si="0"/>
        <v>73.049999999999983</v>
      </c>
      <c r="H6" s="46">
        <f t="shared" si="0"/>
        <v>100</v>
      </c>
      <c r="I6" s="46">
        <f t="shared" si="0"/>
        <v>0</v>
      </c>
      <c r="J6" s="46">
        <f t="shared" si="0"/>
        <v>300</v>
      </c>
      <c r="K6" s="46">
        <f t="shared" si="0"/>
        <v>0</v>
      </c>
      <c r="L6" s="46">
        <f t="shared" si="4"/>
        <v>69.349999999999994</v>
      </c>
      <c r="M6" s="46">
        <v>0</v>
      </c>
      <c r="N6" s="46">
        <v>0</v>
      </c>
      <c r="O6" s="46">
        <f t="shared" si="5"/>
        <v>25.650000000000002</v>
      </c>
      <c r="P6" s="46">
        <v>0</v>
      </c>
      <c r="Q6" s="46">
        <v>0</v>
      </c>
      <c r="R6" s="46">
        <v>0</v>
      </c>
      <c r="S6" s="46">
        <v>0</v>
      </c>
      <c r="T6" s="46" t="s">
        <v>53</v>
      </c>
      <c r="U6" s="46" t="s">
        <v>54</v>
      </c>
      <c r="V6" s="46">
        <v>34.799999999999997</v>
      </c>
      <c r="W6" s="46">
        <v>23.2</v>
      </c>
      <c r="X6" s="46">
        <f t="shared" si="6"/>
        <v>95</v>
      </c>
      <c r="Y6" s="106">
        <f>Summary!$C$20*M6+Summary!$C$21*N6+Summary!$C$22*O6+Summary!$C$23*P6+Summary!$C$24*Q6+Summary!$C$25*R6+Summary!$C$26*S6</f>
        <v>402.96150000000006</v>
      </c>
      <c r="Z6" t="s">
        <v>55</v>
      </c>
      <c r="AA6">
        <v>58.000000000000007</v>
      </c>
      <c r="AB6">
        <v>96</v>
      </c>
      <c r="AH6" s="30" t="s">
        <v>58</v>
      </c>
      <c r="AI6" s="5"/>
      <c r="AJ6" s="5"/>
      <c r="AK6" s="5"/>
      <c r="AL6" s="5"/>
      <c r="AM6" s="5"/>
    </row>
    <row r="7" spans="1:40" x14ac:dyDescent="0.3">
      <c r="A7">
        <v>4</v>
      </c>
      <c r="B7" s="51">
        <f t="shared" si="1"/>
        <v>510</v>
      </c>
      <c r="C7" s="51">
        <f t="shared" si="2"/>
        <v>670</v>
      </c>
      <c r="D7" s="46">
        <f t="shared" si="3"/>
        <v>72.599999999999994</v>
      </c>
      <c r="E7" s="46">
        <f t="shared" si="0"/>
        <v>0</v>
      </c>
      <c r="F7" s="46">
        <f t="shared" si="0"/>
        <v>150</v>
      </c>
      <c r="G7" s="46">
        <f t="shared" si="0"/>
        <v>47.399999999999977</v>
      </c>
      <c r="H7" s="46">
        <f t="shared" si="0"/>
        <v>100</v>
      </c>
      <c r="I7" s="46">
        <f t="shared" si="0"/>
        <v>0</v>
      </c>
      <c r="J7" s="46">
        <f t="shared" si="0"/>
        <v>300</v>
      </c>
      <c r="K7" s="46">
        <f t="shared" si="0"/>
        <v>0</v>
      </c>
      <c r="L7" s="46">
        <f t="shared" si="4"/>
        <v>69.349999999999994</v>
      </c>
      <c r="M7" s="46">
        <v>0</v>
      </c>
      <c r="N7" s="46">
        <v>0</v>
      </c>
      <c r="O7" s="46">
        <f t="shared" si="5"/>
        <v>25.650000000000002</v>
      </c>
      <c r="P7" s="46">
        <v>0</v>
      </c>
      <c r="Q7" s="46">
        <v>0</v>
      </c>
      <c r="R7" s="46">
        <v>0</v>
      </c>
      <c r="S7" s="46">
        <v>0</v>
      </c>
      <c r="T7" s="46" t="s">
        <v>59</v>
      </c>
      <c r="U7" s="46" t="s">
        <v>60</v>
      </c>
      <c r="V7" s="46">
        <v>25.65</v>
      </c>
      <c r="W7" s="46">
        <v>69.349999999999994</v>
      </c>
      <c r="X7" s="46">
        <f t="shared" si="6"/>
        <v>95</v>
      </c>
      <c r="Y7" s="106">
        <f>Summary!$C$20*M7+Summary!$C$21*N7+Summary!$C$22*O7+Summary!$C$23*P7+Summary!$C$24*Q7+Summary!$C$25*R7+Summary!$C$26*S7</f>
        <v>402.96150000000006</v>
      </c>
      <c r="Z7" t="s">
        <v>61</v>
      </c>
      <c r="AA7">
        <v>95</v>
      </c>
      <c r="AB7">
        <v>95</v>
      </c>
      <c r="AH7" s="30" t="s">
        <v>58</v>
      </c>
      <c r="AI7" s="5"/>
      <c r="AJ7" s="5"/>
      <c r="AK7" s="5"/>
      <c r="AL7" s="5"/>
      <c r="AM7" s="5"/>
    </row>
    <row r="8" spans="1:40" x14ac:dyDescent="0.3">
      <c r="A8">
        <v>5</v>
      </c>
      <c r="B8" s="51">
        <f t="shared" si="1"/>
        <v>605</v>
      </c>
      <c r="C8" s="51">
        <f t="shared" si="2"/>
        <v>575</v>
      </c>
      <c r="D8" s="46">
        <f t="shared" si="3"/>
        <v>3.25</v>
      </c>
      <c r="E8" s="46">
        <f t="shared" si="0"/>
        <v>0</v>
      </c>
      <c r="F8" s="46">
        <f t="shared" si="0"/>
        <v>150</v>
      </c>
      <c r="G8" s="46">
        <f t="shared" si="0"/>
        <v>21.749999999999975</v>
      </c>
      <c r="H8" s="46">
        <f t="shared" si="0"/>
        <v>100</v>
      </c>
      <c r="I8" s="46">
        <f t="shared" si="0"/>
        <v>0</v>
      </c>
      <c r="J8" s="46">
        <f t="shared" si="0"/>
        <v>300</v>
      </c>
      <c r="K8" s="46">
        <f t="shared" si="0"/>
        <v>0</v>
      </c>
      <c r="L8" s="46">
        <f t="shared" si="4"/>
        <v>69.349999999999994</v>
      </c>
      <c r="M8" s="46">
        <v>0</v>
      </c>
      <c r="N8" s="46">
        <v>0</v>
      </c>
      <c r="O8" s="46">
        <f t="shared" si="5"/>
        <v>25.650000000000002</v>
      </c>
      <c r="P8" s="46">
        <v>0</v>
      </c>
      <c r="Q8" s="46">
        <v>0</v>
      </c>
      <c r="R8" s="46">
        <v>0</v>
      </c>
      <c r="S8" s="46">
        <v>0</v>
      </c>
      <c r="T8" s="46" t="s">
        <v>62</v>
      </c>
      <c r="U8" s="46" t="s">
        <v>60</v>
      </c>
      <c r="V8" s="46">
        <v>25.92</v>
      </c>
      <c r="W8" s="46">
        <v>70.08</v>
      </c>
      <c r="X8" s="46">
        <f t="shared" si="6"/>
        <v>95</v>
      </c>
      <c r="Y8" s="106">
        <f>Summary!$C$20*M8+Summary!$C$21*N8+Summary!$C$22*O8+Summary!$C$23*P8+Summary!$C$24*Q8+Summary!$C$25*R8+Summary!$C$26*S8</f>
        <v>402.96150000000006</v>
      </c>
      <c r="Z8" t="s">
        <v>61</v>
      </c>
      <c r="AA8">
        <v>96</v>
      </c>
      <c r="AB8">
        <v>96</v>
      </c>
      <c r="AH8" s="30" t="s">
        <v>63</v>
      </c>
      <c r="AI8" s="5" t="s">
        <v>64</v>
      </c>
      <c r="AK8" s="5"/>
      <c r="AL8" s="5"/>
      <c r="AM8" s="5"/>
    </row>
    <row r="9" spans="1:40" x14ac:dyDescent="0.3">
      <c r="A9">
        <v>6</v>
      </c>
      <c r="B9" s="51">
        <f t="shared" si="1"/>
        <v>300</v>
      </c>
      <c r="C9" s="51">
        <f t="shared" si="2"/>
        <v>880</v>
      </c>
      <c r="D9" s="56">
        <f>D8-L9 + 400</f>
        <v>403.25</v>
      </c>
      <c r="E9" s="46">
        <f t="shared" si="0"/>
        <v>0</v>
      </c>
      <c r="F9" s="46">
        <f t="shared" si="0"/>
        <v>150</v>
      </c>
      <c r="G9" s="46">
        <f t="shared" si="0"/>
        <v>21.749999999999975</v>
      </c>
      <c r="H9" s="46">
        <f t="shared" si="0"/>
        <v>100</v>
      </c>
      <c r="I9" s="46">
        <f t="shared" si="0"/>
        <v>0</v>
      </c>
      <c r="J9" s="46">
        <f t="shared" si="0"/>
        <v>205</v>
      </c>
      <c r="K9" s="46">
        <f t="shared" si="0"/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95</v>
      </c>
      <c r="S9" s="46">
        <v>0</v>
      </c>
      <c r="T9" s="46" t="s">
        <v>62</v>
      </c>
      <c r="U9" s="46" t="s">
        <v>60</v>
      </c>
      <c r="V9" s="46">
        <v>25.92</v>
      </c>
      <c r="W9" s="46">
        <v>70.08</v>
      </c>
      <c r="X9" s="46">
        <f t="shared" si="6"/>
        <v>95</v>
      </c>
      <c r="Y9" s="106">
        <f>Summary!$C$20*M9+Summary!$C$21*N9+Summary!$C$22*O9+Summary!$C$23*P9+Summary!$C$24*Q9+Summary!$C$25*R9+Summary!$C$26*S9</f>
        <v>948.1</v>
      </c>
      <c r="Z9" t="s">
        <v>61</v>
      </c>
      <c r="AA9">
        <v>96</v>
      </c>
      <c r="AB9">
        <v>96</v>
      </c>
      <c r="AH9" s="30" t="s">
        <v>63</v>
      </c>
      <c r="AI9" s="5" t="s">
        <v>65</v>
      </c>
      <c r="AJ9" s="26" t="s">
        <v>123</v>
      </c>
      <c r="AK9" s="5"/>
      <c r="AL9" s="5"/>
      <c r="AM9" s="5"/>
    </row>
    <row r="10" spans="1:40" x14ac:dyDescent="0.3">
      <c r="A10">
        <v>7</v>
      </c>
      <c r="B10" s="51">
        <f t="shared" si="1"/>
        <v>395</v>
      </c>
      <c r="C10" s="51">
        <f t="shared" si="2"/>
        <v>785</v>
      </c>
      <c r="D10" s="56">
        <f t="shared" si="3"/>
        <v>403.25</v>
      </c>
      <c r="E10" s="46">
        <f t="shared" si="0"/>
        <v>0</v>
      </c>
      <c r="F10" s="46">
        <f t="shared" si="0"/>
        <v>150</v>
      </c>
      <c r="G10" s="46">
        <f t="shared" si="0"/>
        <v>21.749999999999975</v>
      </c>
      <c r="H10" s="46">
        <f t="shared" si="0"/>
        <v>100</v>
      </c>
      <c r="I10" s="46">
        <f t="shared" si="0"/>
        <v>0</v>
      </c>
      <c r="J10" s="46">
        <f t="shared" si="0"/>
        <v>110</v>
      </c>
      <c r="K10" s="46">
        <f t="shared" si="0"/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95</v>
      </c>
      <c r="S10" s="46">
        <v>0</v>
      </c>
      <c r="T10" s="46" t="s">
        <v>62</v>
      </c>
      <c r="U10" s="46" t="s">
        <v>60</v>
      </c>
      <c r="V10" s="46">
        <v>25.92</v>
      </c>
      <c r="W10" s="46">
        <v>70.08</v>
      </c>
      <c r="X10" s="46">
        <f t="shared" si="6"/>
        <v>95</v>
      </c>
      <c r="Y10" s="106">
        <f>Summary!$C$20*M10+Summary!$C$21*N10+Summary!$C$22*O10+Summary!$C$23*P10+Summary!$C$24*Q10+Summary!$C$25*R10+Summary!$C$26*S10</f>
        <v>948.1</v>
      </c>
      <c r="Z10" t="s">
        <v>61</v>
      </c>
      <c r="AA10">
        <v>96</v>
      </c>
      <c r="AB10">
        <v>96</v>
      </c>
      <c r="AH10" s="30" t="s">
        <v>66</v>
      </c>
      <c r="AI10" s="5" t="s">
        <v>124</v>
      </c>
      <c r="AJ10" s="5" t="s">
        <v>58</v>
      </c>
      <c r="AK10" s="5"/>
      <c r="AL10" s="5"/>
      <c r="AM10" s="5"/>
    </row>
    <row r="11" spans="1:40" x14ac:dyDescent="0.3">
      <c r="A11">
        <v>8</v>
      </c>
      <c r="B11" s="51">
        <f t="shared" si="1"/>
        <v>490</v>
      </c>
      <c r="C11" s="51">
        <f t="shared" si="2"/>
        <v>690</v>
      </c>
      <c r="D11" s="56">
        <f t="shared" si="3"/>
        <v>403.25</v>
      </c>
      <c r="E11" s="46">
        <f t="shared" si="0"/>
        <v>0</v>
      </c>
      <c r="F11" s="46">
        <f t="shared" si="0"/>
        <v>150</v>
      </c>
      <c r="G11" s="46">
        <f t="shared" si="0"/>
        <v>21.749999999999975</v>
      </c>
      <c r="H11" s="46">
        <f t="shared" si="0"/>
        <v>100</v>
      </c>
      <c r="I11" s="46">
        <f t="shared" si="0"/>
        <v>0</v>
      </c>
      <c r="J11" s="46">
        <f t="shared" si="0"/>
        <v>15</v>
      </c>
      <c r="K11" s="46">
        <f t="shared" si="0"/>
        <v>0</v>
      </c>
      <c r="L11" s="46">
        <v>0</v>
      </c>
      <c r="M11" s="46">
        <v>0</v>
      </c>
      <c r="N11" s="46">
        <v>0</v>
      </c>
      <c r="O11" s="46">
        <v>0</v>
      </c>
      <c r="P11" s="46">
        <v>0</v>
      </c>
      <c r="Q11" s="46">
        <v>0</v>
      </c>
      <c r="R11" s="46">
        <v>95</v>
      </c>
      <c r="S11" s="46">
        <v>0</v>
      </c>
      <c r="T11" s="46" t="s">
        <v>62</v>
      </c>
      <c r="U11" s="46" t="s">
        <v>60</v>
      </c>
      <c r="V11" s="46">
        <v>25.92</v>
      </c>
      <c r="W11" s="46">
        <v>70.08</v>
      </c>
      <c r="X11" s="46">
        <f t="shared" si="6"/>
        <v>95</v>
      </c>
      <c r="Y11" s="106">
        <f>Summary!$C$20*M11+Summary!$C$21*N11+Summary!$C$22*O11+Summary!$C$23*P11+Summary!$C$24*Q11+Summary!$C$25*R11+Summary!$C$26*S11</f>
        <v>948.1</v>
      </c>
      <c r="Z11" t="s">
        <v>61</v>
      </c>
      <c r="AA11">
        <v>96</v>
      </c>
      <c r="AB11">
        <v>96</v>
      </c>
      <c r="AH11" s="30" t="s">
        <v>66</v>
      </c>
      <c r="AI11" s="5" t="s">
        <v>58</v>
      </c>
      <c r="AJ11" s="5" t="s">
        <v>58</v>
      </c>
      <c r="AK11" s="5"/>
      <c r="AL11" s="5"/>
      <c r="AM11" s="5"/>
    </row>
    <row r="12" spans="1:40" x14ac:dyDescent="0.3">
      <c r="A12">
        <v>9</v>
      </c>
      <c r="B12" s="51">
        <f t="shared" si="1"/>
        <v>585</v>
      </c>
      <c r="C12" s="51">
        <f t="shared" si="2"/>
        <v>595</v>
      </c>
      <c r="D12" s="56">
        <f t="shared" si="3"/>
        <v>403.25</v>
      </c>
      <c r="E12" s="46">
        <f t="shared" si="0"/>
        <v>0</v>
      </c>
      <c r="F12" s="46">
        <f t="shared" si="0"/>
        <v>93</v>
      </c>
      <c r="G12" s="46">
        <f t="shared" si="0"/>
        <v>21.749999999999975</v>
      </c>
      <c r="H12" s="46">
        <f t="shared" si="0"/>
        <v>62</v>
      </c>
      <c r="I12" s="46">
        <f t="shared" si="0"/>
        <v>0</v>
      </c>
      <c r="J12" s="46">
        <f t="shared" si="0"/>
        <v>15</v>
      </c>
      <c r="K12" s="46">
        <f t="shared" si="0"/>
        <v>0</v>
      </c>
      <c r="L12" s="46">
        <v>0</v>
      </c>
      <c r="M12" s="46">
        <v>0</v>
      </c>
      <c r="N12" s="46">
        <f>(95-R12)*0.6</f>
        <v>57</v>
      </c>
      <c r="O12" s="46">
        <v>0</v>
      </c>
      <c r="P12" s="46">
        <f>(95-R12)*0.4</f>
        <v>38</v>
      </c>
      <c r="Q12" s="46">
        <v>0</v>
      </c>
      <c r="R12" s="46"/>
      <c r="S12" s="46">
        <v>0</v>
      </c>
      <c r="T12" s="46" t="s">
        <v>62</v>
      </c>
      <c r="U12" s="46" t="s">
        <v>60</v>
      </c>
      <c r="V12" s="46">
        <v>25.92</v>
      </c>
      <c r="W12" s="46">
        <v>70.08</v>
      </c>
      <c r="X12" s="46">
        <f t="shared" si="6"/>
        <v>95</v>
      </c>
      <c r="Y12" s="106">
        <f>Summary!$C$20*M12+Summary!$C$21*N12+Summary!$C$22*O12+Summary!$C$23*P12+Summary!$C$24*Q12+Summary!$C$25*R12+Summary!$C$26*S12</f>
        <v>1783.9099999999999</v>
      </c>
      <c r="Z12" t="s">
        <v>61</v>
      </c>
      <c r="AA12">
        <v>96</v>
      </c>
      <c r="AB12">
        <v>96</v>
      </c>
      <c r="AH12" s="30" t="s">
        <v>66</v>
      </c>
      <c r="AI12" s="5" t="s">
        <v>58</v>
      </c>
      <c r="AJ12" s="5" t="s">
        <v>58</v>
      </c>
      <c r="AK12" s="5"/>
      <c r="AL12" s="5"/>
      <c r="AM12" s="5"/>
    </row>
    <row r="13" spans="1:40" x14ac:dyDescent="0.3">
      <c r="A13">
        <v>10</v>
      </c>
      <c r="B13" s="51">
        <f t="shared" si="1"/>
        <v>680</v>
      </c>
      <c r="C13" s="51">
        <f t="shared" si="2"/>
        <v>500</v>
      </c>
      <c r="D13" s="55">
        <f t="shared" si="3"/>
        <v>403.25</v>
      </c>
      <c r="E13" s="46">
        <f t="shared" si="0"/>
        <v>0</v>
      </c>
      <c r="F13" s="46">
        <f t="shared" si="0"/>
        <v>36</v>
      </c>
      <c r="G13" s="46">
        <f t="shared" si="0"/>
        <v>21.749999999999975</v>
      </c>
      <c r="H13" s="46">
        <f t="shared" si="0"/>
        <v>24</v>
      </c>
      <c r="I13" s="46">
        <f t="shared" si="0"/>
        <v>0</v>
      </c>
      <c r="J13" s="46">
        <f t="shared" si="0"/>
        <v>15</v>
      </c>
      <c r="K13" s="46">
        <f t="shared" si="0"/>
        <v>0</v>
      </c>
      <c r="L13" s="46">
        <v>0</v>
      </c>
      <c r="M13" s="46">
        <v>0</v>
      </c>
      <c r="N13" s="46">
        <v>57</v>
      </c>
      <c r="O13" s="46">
        <v>0</v>
      </c>
      <c r="P13" s="46">
        <v>38</v>
      </c>
      <c r="Q13" s="46">
        <v>0</v>
      </c>
      <c r="R13" s="46">
        <v>0</v>
      </c>
      <c r="S13" s="46">
        <v>0</v>
      </c>
      <c r="T13" s="46" t="s">
        <v>62</v>
      </c>
      <c r="U13" s="46" t="s">
        <v>60</v>
      </c>
      <c r="V13" s="46">
        <v>20.399999999999991</v>
      </c>
      <c r="W13" s="46">
        <v>55.15555555555553</v>
      </c>
      <c r="X13" s="46">
        <f t="shared" si="6"/>
        <v>95</v>
      </c>
      <c r="Y13" s="106">
        <f>Summary!$C$20*M13+Summary!$C$21*N13+Summary!$C$22*O13+Summary!$C$23*P13+Summary!$C$24*Q13+Summary!$C$25*R13+Summary!$C$26*S13</f>
        <v>1783.9099999999999</v>
      </c>
      <c r="Z13" t="s">
        <v>61</v>
      </c>
      <c r="AA13">
        <v>75.555555555555515</v>
      </c>
      <c r="AB13">
        <v>96</v>
      </c>
      <c r="AH13" s="30" t="s">
        <v>110</v>
      </c>
      <c r="AI13" s="5" t="s">
        <v>58</v>
      </c>
      <c r="AJ13" s="5" t="s">
        <v>69</v>
      </c>
      <c r="AL13" s="5"/>
      <c r="AM13" s="5"/>
    </row>
    <row r="14" spans="1:40" x14ac:dyDescent="0.3">
      <c r="A14">
        <v>11</v>
      </c>
      <c r="B14" s="51">
        <f t="shared" si="1"/>
        <v>775</v>
      </c>
      <c r="C14" s="51">
        <f t="shared" si="2"/>
        <v>405</v>
      </c>
      <c r="D14" s="46">
        <f t="shared" si="3"/>
        <v>368.25</v>
      </c>
      <c r="E14" s="46">
        <f t="shared" si="0"/>
        <v>0</v>
      </c>
      <c r="F14" s="46">
        <f t="shared" si="0"/>
        <v>0</v>
      </c>
      <c r="G14" s="46">
        <f t="shared" si="0"/>
        <v>21.749999999999975</v>
      </c>
      <c r="H14" s="46">
        <f t="shared" si="0"/>
        <v>0</v>
      </c>
      <c r="I14" s="46">
        <f t="shared" si="0"/>
        <v>0</v>
      </c>
      <c r="J14" s="46">
        <f t="shared" si="0"/>
        <v>15</v>
      </c>
      <c r="K14" s="46">
        <f t="shared" si="0"/>
        <v>0</v>
      </c>
      <c r="L14" s="46">
        <f>95-60</f>
        <v>35</v>
      </c>
      <c r="M14" s="46">
        <v>0</v>
      </c>
      <c r="N14" s="46">
        <v>36</v>
      </c>
      <c r="O14" s="46">
        <v>0</v>
      </c>
      <c r="P14" s="46">
        <f>N14/60*40</f>
        <v>24</v>
      </c>
      <c r="Q14" s="46">
        <v>0</v>
      </c>
      <c r="R14" s="46">
        <v>0</v>
      </c>
      <c r="S14" s="46">
        <v>0</v>
      </c>
      <c r="T14" s="46" t="s">
        <v>59</v>
      </c>
      <c r="U14" s="46" t="s">
        <v>60</v>
      </c>
      <c r="V14" s="46">
        <v>25.65</v>
      </c>
      <c r="W14" s="46">
        <v>69.349999999999994</v>
      </c>
      <c r="X14" s="46">
        <f t="shared" si="6"/>
        <v>95</v>
      </c>
      <c r="Y14" s="106">
        <f>Summary!$C$20*M14+Summary!$C$21*N14+Summary!$C$22*O14+Summary!$C$23*P14+Summary!$C$24*Q14+Summary!$C$25*R14+Summary!$C$26*S14</f>
        <v>1126.6799999999998</v>
      </c>
      <c r="Z14" t="s">
        <v>61</v>
      </c>
      <c r="AA14">
        <v>95</v>
      </c>
      <c r="AB14">
        <v>95</v>
      </c>
      <c r="AI14" s="5" t="s">
        <v>63</v>
      </c>
      <c r="AJ14" s="5" t="s">
        <v>58</v>
      </c>
      <c r="AK14" s="5" t="s">
        <v>70</v>
      </c>
      <c r="AM14" s="5"/>
    </row>
    <row r="15" spans="1:40" x14ac:dyDescent="0.3">
      <c r="A15">
        <v>12</v>
      </c>
      <c r="B15" s="51">
        <f t="shared" si="1"/>
        <v>292</v>
      </c>
      <c r="C15" s="51">
        <f>SUM(D15:K15)</f>
        <v>888</v>
      </c>
      <c r="D15" s="46">
        <f t="shared" si="3"/>
        <v>281.25</v>
      </c>
      <c r="E15" s="46">
        <f t="shared" si="0"/>
        <v>0</v>
      </c>
      <c r="F15" s="46">
        <f t="shared" si="0"/>
        <v>0</v>
      </c>
      <c r="G15" s="46">
        <f t="shared" si="0"/>
        <v>21.749999999999975</v>
      </c>
      <c r="H15" s="46">
        <f t="shared" si="0"/>
        <v>0</v>
      </c>
      <c r="I15" s="56">
        <f>I14-Q15 + 250</f>
        <v>250</v>
      </c>
      <c r="J15" s="56">
        <f>J14-R15 + 320</f>
        <v>335</v>
      </c>
      <c r="K15" s="46">
        <f t="shared" si="0"/>
        <v>0</v>
      </c>
      <c r="L15" s="46">
        <v>87</v>
      </c>
      <c r="M15" s="46">
        <v>0</v>
      </c>
      <c r="N15" s="46">
        <v>0</v>
      </c>
      <c r="O15" s="46"/>
      <c r="P15" s="46">
        <v>0</v>
      </c>
      <c r="Q15" s="46">
        <v>0</v>
      </c>
      <c r="R15" s="46">
        <v>0</v>
      </c>
      <c r="S15" s="46">
        <v>0</v>
      </c>
      <c r="T15" s="46" t="s">
        <v>59</v>
      </c>
      <c r="U15" s="46" t="s">
        <v>60</v>
      </c>
      <c r="V15" s="46">
        <v>25.65</v>
      </c>
      <c r="W15" s="46">
        <v>69.349999999999994</v>
      </c>
      <c r="X15" s="46">
        <f>SUM(L15:S15)</f>
        <v>87</v>
      </c>
      <c r="Y15" s="106">
        <f>Summary!$C$20*M15+Summary!$C$21*N15+Summary!$C$22*O15+Summary!$C$23*P15+Summary!$C$24*Q15+Summary!$C$25*R15+Summary!$C$26*S15</f>
        <v>0</v>
      </c>
      <c r="Z15" t="s">
        <v>61</v>
      </c>
      <c r="AA15">
        <v>95</v>
      </c>
      <c r="AB15">
        <v>95</v>
      </c>
      <c r="AI15" s="5" t="s">
        <v>63</v>
      </c>
      <c r="AJ15" s="5" t="s">
        <v>58</v>
      </c>
      <c r="AK15" s="5" t="s">
        <v>58</v>
      </c>
    </row>
    <row r="16" spans="1:40" x14ac:dyDescent="0.3">
      <c r="A16">
        <v>13</v>
      </c>
      <c r="B16" s="51">
        <f t="shared" si="1"/>
        <v>379</v>
      </c>
      <c r="C16" s="51">
        <f t="shared" si="2"/>
        <v>801</v>
      </c>
      <c r="D16" s="46">
        <f t="shared" si="3"/>
        <v>194.25</v>
      </c>
      <c r="E16" s="46">
        <f t="shared" si="0"/>
        <v>0</v>
      </c>
      <c r="F16" s="46">
        <f t="shared" si="0"/>
        <v>0</v>
      </c>
      <c r="G16" s="46">
        <f t="shared" si="0"/>
        <v>21.749999999999975</v>
      </c>
      <c r="H16" s="46">
        <f t="shared" si="0"/>
        <v>0</v>
      </c>
      <c r="I16" s="56">
        <f t="shared" si="0"/>
        <v>250</v>
      </c>
      <c r="J16" s="56">
        <f t="shared" si="0"/>
        <v>335</v>
      </c>
      <c r="K16" s="46">
        <f t="shared" si="0"/>
        <v>0</v>
      </c>
      <c r="L16" s="46">
        <v>87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 t="s">
        <v>59</v>
      </c>
      <c r="U16" s="46" t="s">
        <v>60</v>
      </c>
      <c r="V16" s="46">
        <v>25.65</v>
      </c>
      <c r="W16" s="46">
        <v>69.349999999999994</v>
      </c>
      <c r="X16" s="46">
        <f t="shared" si="6"/>
        <v>87</v>
      </c>
      <c r="Y16" s="106">
        <f>Summary!$C$20*M16+Summary!$C$21*N16+Summary!$C$22*O16+Summary!$C$23*P16+Summary!$C$24*Q16+Summary!$C$25*R16+Summary!$C$26*S16</f>
        <v>0</v>
      </c>
      <c r="Z16" t="s">
        <v>61</v>
      </c>
      <c r="AA16">
        <v>95</v>
      </c>
      <c r="AB16">
        <v>95</v>
      </c>
      <c r="AI16" s="5" t="s">
        <v>71</v>
      </c>
      <c r="AJ16" s="5" t="s">
        <v>63</v>
      </c>
      <c r="AK16" s="5" t="s">
        <v>58</v>
      </c>
    </row>
    <row r="17" spans="1:39" x14ac:dyDescent="0.3">
      <c r="A17">
        <v>14</v>
      </c>
      <c r="B17" s="51">
        <f t="shared" si="1"/>
        <v>66</v>
      </c>
      <c r="C17" s="51">
        <f t="shared" si="2"/>
        <v>1114</v>
      </c>
      <c r="D17" s="46">
        <f t="shared" si="3"/>
        <v>107.25</v>
      </c>
      <c r="E17" s="46">
        <f t="shared" si="0"/>
        <v>0</v>
      </c>
      <c r="F17" s="56">
        <f>F16-N17 + 150</f>
        <v>150</v>
      </c>
      <c r="G17" s="46">
        <f t="shared" si="0"/>
        <v>21.749999999999975</v>
      </c>
      <c r="H17" s="46">
        <f t="shared" si="0"/>
        <v>0</v>
      </c>
      <c r="I17" s="56">
        <f t="shared" si="0"/>
        <v>250</v>
      </c>
      <c r="J17" s="56">
        <f t="shared" si="0"/>
        <v>335</v>
      </c>
      <c r="K17" s="56">
        <f>K16-S17 + 250</f>
        <v>250</v>
      </c>
      <c r="L17" s="46">
        <v>87</v>
      </c>
      <c r="M17" s="46">
        <v>0</v>
      </c>
      <c r="N17" s="46">
        <v>0</v>
      </c>
      <c r="O17" s="46">
        <v>0</v>
      </c>
      <c r="P17" s="46">
        <v>0</v>
      </c>
      <c r="Q17" s="46">
        <v>0</v>
      </c>
      <c r="R17" s="46">
        <v>0</v>
      </c>
      <c r="S17" s="46">
        <v>0</v>
      </c>
      <c r="T17" s="46" t="s">
        <v>59</v>
      </c>
      <c r="U17" s="46" t="s">
        <v>60</v>
      </c>
      <c r="V17" s="46">
        <v>24.797260273972611</v>
      </c>
      <c r="W17" s="46">
        <v>67.044444444444451</v>
      </c>
      <c r="X17" s="46">
        <f t="shared" si="6"/>
        <v>87</v>
      </c>
      <c r="Y17" s="106">
        <f>Summary!$C$20*M17+Summary!$C$21*N17+Summary!$C$22*O17+Summary!$C$23*P17+Summary!$C$24*Q17+Summary!$C$25*R17+Summary!$C$26*S17</f>
        <v>0</v>
      </c>
      <c r="Z17" t="s">
        <v>61</v>
      </c>
      <c r="AA17">
        <v>91.841704718417063</v>
      </c>
      <c r="AB17">
        <v>95</v>
      </c>
      <c r="AI17" s="5" t="s">
        <v>71</v>
      </c>
      <c r="AJ17" s="5" t="s">
        <v>63</v>
      </c>
      <c r="AK17" s="5" t="s">
        <v>58</v>
      </c>
    </row>
    <row r="18" spans="1:39" x14ac:dyDescent="0.3">
      <c r="A18">
        <v>15</v>
      </c>
      <c r="B18" s="51">
        <f t="shared" si="1"/>
        <v>161.82191780821927</v>
      </c>
      <c r="C18" s="51">
        <f t="shared" si="2"/>
        <v>1018.1780821917807</v>
      </c>
      <c r="D18" s="46">
        <f t="shared" si="3"/>
        <v>48.25</v>
      </c>
      <c r="E18" s="46">
        <f t="shared" si="0"/>
        <v>0</v>
      </c>
      <c r="F18" s="56">
        <f t="shared" si="0"/>
        <v>150</v>
      </c>
      <c r="G18" s="46">
        <f t="shared" si="0"/>
        <v>-7.191780821920446E-2</v>
      </c>
      <c r="H18" s="46">
        <f t="shared" si="0"/>
        <v>0</v>
      </c>
      <c r="I18" s="56">
        <f t="shared" si="0"/>
        <v>250</v>
      </c>
      <c r="J18" s="56">
        <f t="shared" si="0"/>
        <v>320</v>
      </c>
      <c r="K18" s="56">
        <f t="shared" si="0"/>
        <v>250</v>
      </c>
      <c r="L18" s="46">
        <v>59</v>
      </c>
      <c r="M18" s="46">
        <v>0</v>
      </c>
      <c r="N18" s="46">
        <v>0</v>
      </c>
      <c r="O18" s="46">
        <f>59/73*27</f>
        <v>21.82191780821918</v>
      </c>
      <c r="P18" s="46">
        <v>0</v>
      </c>
      <c r="Q18" s="46">
        <v>0</v>
      </c>
      <c r="R18" s="46">
        <v>15</v>
      </c>
      <c r="S18" s="46">
        <v>0</v>
      </c>
      <c r="T18" s="46" t="s">
        <v>53</v>
      </c>
      <c r="U18" s="46"/>
      <c r="V18" s="46">
        <v>7.1054273576010019E-15</v>
      </c>
      <c r="W18" s="46">
        <v>0</v>
      </c>
      <c r="X18" s="46">
        <f t="shared" si="6"/>
        <v>95.821917808219183</v>
      </c>
      <c r="Y18" s="106">
        <f>Summary!$C$20*M18+Summary!$C$21*N18+Summary!$C$22*O18+Summary!$C$23*P18+Summary!$C$24*Q18+Summary!$C$25*R18+Summary!$C$26*S18</f>
        <v>492.52232876712333</v>
      </c>
      <c r="Z18" t="s">
        <v>72</v>
      </c>
      <c r="AA18">
        <v>7.1054273576010019E-15</v>
      </c>
      <c r="AB18">
        <v>96</v>
      </c>
      <c r="AI18" s="5" t="s">
        <v>71</v>
      </c>
      <c r="AJ18" s="5" t="s">
        <v>71</v>
      </c>
      <c r="AK18" s="5" t="s">
        <v>73</v>
      </c>
    </row>
    <row r="19" spans="1:39" x14ac:dyDescent="0.3">
      <c r="A19">
        <v>16</v>
      </c>
      <c r="B19" s="51">
        <f t="shared" si="1"/>
        <v>256.82191780821927</v>
      </c>
      <c r="C19" s="51">
        <f t="shared" si="2"/>
        <v>923.17808219178073</v>
      </c>
      <c r="D19" s="46">
        <f t="shared" si="3"/>
        <v>48.25</v>
      </c>
      <c r="E19" s="46">
        <f t="shared" si="0"/>
        <v>0</v>
      </c>
      <c r="F19" s="56">
        <f t="shared" si="0"/>
        <v>150</v>
      </c>
      <c r="G19" s="46">
        <f t="shared" si="0"/>
        <v>-7.191780821920446E-2</v>
      </c>
      <c r="H19" s="46">
        <f t="shared" si="0"/>
        <v>0</v>
      </c>
      <c r="I19" s="55">
        <f t="shared" si="0"/>
        <v>250</v>
      </c>
      <c r="J19" s="55">
        <f t="shared" si="0"/>
        <v>225</v>
      </c>
      <c r="K19" s="56">
        <f t="shared" si="0"/>
        <v>250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v>0</v>
      </c>
      <c r="R19" s="46">
        <v>95</v>
      </c>
      <c r="S19" s="46">
        <v>0</v>
      </c>
      <c r="T19" s="46" t="s">
        <v>59</v>
      </c>
      <c r="U19" s="46"/>
      <c r="V19" s="46">
        <v>95</v>
      </c>
      <c r="W19" s="46">
        <v>0</v>
      </c>
      <c r="X19" s="46">
        <f t="shared" si="6"/>
        <v>95</v>
      </c>
      <c r="Y19" s="106">
        <f>Summary!$C$20*M19+Summary!$C$21*N19+Summary!$C$22*O19+Summary!$C$23*P19+Summary!$C$24*Q19+Summary!$C$25*R19+Summary!$C$26*S19</f>
        <v>948.1</v>
      </c>
      <c r="Z19" t="s">
        <v>72</v>
      </c>
      <c r="AA19">
        <v>95</v>
      </c>
      <c r="AB19">
        <v>95</v>
      </c>
      <c r="AI19" s="5" t="s">
        <v>74</v>
      </c>
      <c r="AJ19" s="5" t="s">
        <v>71</v>
      </c>
      <c r="AK19" s="5" t="s">
        <v>73</v>
      </c>
    </row>
    <row r="20" spans="1:39" x14ac:dyDescent="0.3">
      <c r="A20">
        <v>17</v>
      </c>
      <c r="B20" s="51">
        <f t="shared" si="1"/>
        <v>351.82191780821927</v>
      </c>
      <c r="C20" s="51">
        <f t="shared" si="2"/>
        <v>828.17808219178073</v>
      </c>
      <c r="D20" s="46">
        <f t="shared" si="3"/>
        <v>48.25</v>
      </c>
      <c r="E20" s="46">
        <f t="shared" si="3"/>
        <v>0</v>
      </c>
      <c r="F20" s="56">
        <f t="shared" si="3"/>
        <v>150</v>
      </c>
      <c r="G20" s="46">
        <f t="shared" si="3"/>
        <v>-7.191780821920446E-2</v>
      </c>
      <c r="H20" s="46">
        <f t="shared" si="3"/>
        <v>0</v>
      </c>
      <c r="I20" s="46">
        <f t="shared" si="3"/>
        <v>250</v>
      </c>
      <c r="J20" s="46">
        <f t="shared" si="3"/>
        <v>130</v>
      </c>
      <c r="K20" s="56">
        <f t="shared" si="3"/>
        <v>250</v>
      </c>
      <c r="L20" s="46">
        <v>0</v>
      </c>
      <c r="M20" s="46">
        <v>0</v>
      </c>
      <c r="N20" s="46">
        <v>0</v>
      </c>
      <c r="O20" s="46">
        <v>0</v>
      </c>
      <c r="P20" s="46">
        <v>0</v>
      </c>
      <c r="Q20" s="46">
        <v>0</v>
      </c>
      <c r="R20" s="46">
        <v>95</v>
      </c>
      <c r="S20" s="46">
        <v>0</v>
      </c>
      <c r="T20" s="46" t="s">
        <v>59</v>
      </c>
      <c r="U20" s="46"/>
      <c r="V20" s="46">
        <v>77.60273972602738</v>
      </c>
      <c r="W20" s="46">
        <v>0</v>
      </c>
      <c r="X20" s="46">
        <f t="shared" si="6"/>
        <v>95</v>
      </c>
      <c r="Y20" s="106">
        <f>Summary!$C$20*M20+Summary!$C$21*N20+Summary!$C$22*O20+Summary!$C$23*P20+Summary!$C$24*Q20+Summary!$C$25*R20+Summary!$C$26*S20</f>
        <v>948.1</v>
      </c>
      <c r="Z20" t="s">
        <v>72</v>
      </c>
      <c r="AA20">
        <v>77.60273972602738</v>
      </c>
      <c r="AB20">
        <v>95</v>
      </c>
      <c r="AJ20" s="5" t="s">
        <v>71</v>
      </c>
      <c r="AK20" s="5" t="s">
        <v>73</v>
      </c>
    </row>
    <row r="21" spans="1:39" x14ac:dyDescent="0.3">
      <c r="A21">
        <v>18</v>
      </c>
      <c r="B21" s="51">
        <f t="shared" si="1"/>
        <v>446.82191780821927</v>
      </c>
      <c r="C21" s="51">
        <f t="shared" si="2"/>
        <v>733.17808219178073</v>
      </c>
      <c r="D21" s="46">
        <f t="shared" si="3"/>
        <v>48.25</v>
      </c>
      <c r="E21" s="46">
        <f t="shared" si="3"/>
        <v>0</v>
      </c>
      <c r="F21" s="55">
        <f t="shared" si="3"/>
        <v>150</v>
      </c>
      <c r="G21" s="46">
        <f t="shared" si="3"/>
        <v>-7.191780821920446E-2</v>
      </c>
      <c r="H21" s="46">
        <f t="shared" si="3"/>
        <v>0</v>
      </c>
      <c r="I21" s="46">
        <f t="shared" si="3"/>
        <v>250</v>
      </c>
      <c r="J21" s="46">
        <f t="shared" si="3"/>
        <v>35</v>
      </c>
      <c r="K21" s="55">
        <f t="shared" si="3"/>
        <v>250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/>
      <c r="R21" s="46">
        <v>95</v>
      </c>
      <c r="S21" s="46"/>
      <c r="T21" s="46" t="s">
        <v>75</v>
      </c>
      <c r="U21" s="46"/>
      <c r="V21" s="46">
        <v>95</v>
      </c>
      <c r="W21" s="46">
        <v>0</v>
      </c>
      <c r="X21" s="46">
        <f t="shared" si="6"/>
        <v>95</v>
      </c>
      <c r="Y21" s="106">
        <f>Summary!$C$20*M21+Summary!$C$21*N21+Summary!$C$22*O21+Summary!$C$23*P21+Summary!$C$24*Q21+Summary!$C$25*R21+Summary!$C$26*S21</f>
        <v>948.1</v>
      </c>
      <c r="Z21" t="s">
        <v>72</v>
      </c>
      <c r="AA21">
        <v>95</v>
      </c>
      <c r="AB21">
        <v>95</v>
      </c>
      <c r="AJ21" s="26" t="s">
        <v>125</v>
      </c>
      <c r="AK21" s="5" t="s">
        <v>73</v>
      </c>
      <c r="AL21" s="26" t="s">
        <v>77</v>
      </c>
    </row>
    <row r="22" spans="1:39" x14ac:dyDescent="0.3">
      <c r="A22">
        <v>19</v>
      </c>
      <c r="B22" s="51">
        <f t="shared" si="1"/>
        <v>541.82191780821927</v>
      </c>
      <c r="C22" s="51">
        <f t="shared" si="2"/>
        <v>638.17808219178073</v>
      </c>
      <c r="D22" s="46">
        <f t="shared" si="3"/>
        <v>48.25</v>
      </c>
      <c r="E22" s="46">
        <f t="shared" si="3"/>
        <v>0</v>
      </c>
      <c r="F22" s="46">
        <f t="shared" si="3"/>
        <v>150</v>
      </c>
      <c r="G22" s="46">
        <f t="shared" si="3"/>
        <v>-7.191780821920446E-2</v>
      </c>
      <c r="H22" s="46">
        <f t="shared" si="3"/>
        <v>0</v>
      </c>
      <c r="I22" s="46">
        <f t="shared" si="3"/>
        <v>211</v>
      </c>
      <c r="J22" s="46">
        <f t="shared" si="3"/>
        <v>0</v>
      </c>
      <c r="K22" s="46">
        <f t="shared" si="3"/>
        <v>229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f>(95-R22)*0.65</f>
        <v>39</v>
      </c>
      <c r="R22" s="46">
        <v>35</v>
      </c>
      <c r="S22" s="46">
        <f>(95-R22)*0.35</f>
        <v>21</v>
      </c>
      <c r="T22" s="46" t="s">
        <v>53</v>
      </c>
      <c r="U22" s="46"/>
      <c r="V22" s="46">
        <v>96</v>
      </c>
      <c r="W22" s="46">
        <v>0</v>
      </c>
      <c r="X22" s="46">
        <f t="shared" si="6"/>
        <v>95</v>
      </c>
      <c r="Y22" s="106">
        <f>Summary!$C$20*M22+Summary!$C$21*N22+Summary!$C$22*O22+Summary!$C$23*P22+Summary!$C$24*Q22+Summary!$C$25*R22+Summary!$C$26*S22</f>
        <v>995.08</v>
      </c>
      <c r="Z22" t="s">
        <v>72</v>
      </c>
      <c r="AA22">
        <v>96</v>
      </c>
      <c r="AB22">
        <v>96</v>
      </c>
      <c r="AK22" s="5" t="s">
        <v>63</v>
      </c>
      <c r="AL22" s="26" t="s">
        <v>78</v>
      </c>
    </row>
    <row r="23" spans="1:39" x14ac:dyDescent="0.3">
      <c r="A23">
        <v>20</v>
      </c>
      <c r="B23" s="51">
        <f t="shared" si="1"/>
        <v>86.821917808219268</v>
      </c>
      <c r="C23" s="51">
        <f>SUM(D23:K23)</f>
        <v>1093.1780821917807</v>
      </c>
      <c r="D23" s="46">
        <f t="shared" si="3"/>
        <v>48.25</v>
      </c>
      <c r="E23" s="46">
        <f t="shared" si="3"/>
        <v>0</v>
      </c>
      <c r="F23" s="46">
        <f t="shared" si="3"/>
        <v>150</v>
      </c>
      <c r="G23" s="46">
        <f t="shared" si="3"/>
        <v>-7.191780821920446E-2</v>
      </c>
      <c r="H23" s="46">
        <f t="shared" si="3"/>
        <v>0</v>
      </c>
      <c r="I23" s="46">
        <f t="shared" si="3"/>
        <v>149.25</v>
      </c>
      <c r="J23" s="56">
        <f>J22-R23 + 550</f>
        <v>550</v>
      </c>
      <c r="K23" s="46">
        <f t="shared" si="3"/>
        <v>195.75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f>95*0.65</f>
        <v>61.75</v>
      </c>
      <c r="R23" s="46">
        <v>0</v>
      </c>
      <c r="S23" s="46">
        <f>95*0.35</f>
        <v>33.25</v>
      </c>
      <c r="T23" s="46" t="s">
        <v>53</v>
      </c>
      <c r="U23" s="46"/>
      <c r="V23" s="46">
        <v>96</v>
      </c>
      <c r="W23" s="46">
        <v>0</v>
      </c>
      <c r="X23" s="46">
        <f t="shared" si="6"/>
        <v>95</v>
      </c>
      <c r="Y23" s="106">
        <f>Summary!$C$20*M23+Summary!$C$21*N23+Summary!$C$22*O23+Summary!$C$23*P23+Summary!$C$24*Q23+Summary!$C$25*R23+Summary!$C$26*S23</f>
        <v>1022.4849999999999</v>
      </c>
      <c r="Z23" t="s">
        <v>72</v>
      </c>
      <c r="AA23">
        <v>96</v>
      </c>
      <c r="AB23">
        <v>96</v>
      </c>
      <c r="AK23" s="5" t="s">
        <v>63</v>
      </c>
      <c r="AL23" s="26" t="s">
        <v>58</v>
      </c>
    </row>
    <row r="24" spans="1:39" x14ac:dyDescent="0.3">
      <c r="A24">
        <v>21</v>
      </c>
      <c r="B24" s="51">
        <f t="shared" si="1"/>
        <v>181.82191780821927</v>
      </c>
      <c r="C24" s="51">
        <f t="shared" si="2"/>
        <v>998.17808219178073</v>
      </c>
      <c r="D24" s="46">
        <f t="shared" si="3"/>
        <v>48.25</v>
      </c>
      <c r="E24" s="46">
        <f t="shared" si="3"/>
        <v>0</v>
      </c>
      <c r="F24" s="46">
        <f t="shared" si="3"/>
        <v>150</v>
      </c>
      <c r="G24" s="46">
        <f t="shared" si="3"/>
        <v>-7.191780821920446E-2</v>
      </c>
      <c r="H24" s="46">
        <f t="shared" si="3"/>
        <v>0</v>
      </c>
      <c r="I24" s="46">
        <f t="shared" si="3"/>
        <v>87.5</v>
      </c>
      <c r="J24" s="56">
        <f t="shared" si="3"/>
        <v>550</v>
      </c>
      <c r="K24" s="46">
        <f t="shared" si="3"/>
        <v>162.5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f>95*0.65</f>
        <v>61.75</v>
      </c>
      <c r="R24" s="46">
        <v>0</v>
      </c>
      <c r="S24" s="46">
        <f>95*0.35</f>
        <v>33.25</v>
      </c>
      <c r="T24" s="46" t="s">
        <v>53</v>
      </c>
      <c r="U24" s="46"/>
      <c r="V24" s="46">
        <v>8</v>
      </c>
      <c r="W24" s="46">
        <v>0</v>
      </c>
      <c r="X24" s="46">
        <f t="shared" si="6"/>
        <v>95</v>
      </c>
      <c r="Y24" s="106">
        <f>Summary!$C$20*M24+Summary!$C$21*N24+Summary!$C$22*O24+Summary!$C$23*P24+Summary!$C$24*Q24+Summary!$C$25*R24+Summary!$C$26*S24</f>
        <v>1022.4849999999999</v>
      </c>
      <c r="Z24" t="s">
        <v>72</v>
      </c>
      <c r="AA24">
        <v>8</v>
      </c>
      <c r="AB24">
        <v>96</v>
      </c>
      <c r="AK24" s="5" t="s">
        <v>71</v>
      </c>
      <c r="AL24" s="26" t="s">
        <v>58</v>
      </c>
      <c r="AM24" s="28" t="s">
        <v>79</v>
      </c>
    </row>
    <row r="25" spans="1:39" x14ac:dyDescent="0.3">
      <c r="A25">
        <v>22</v>
      </c>
      <c r="B25" s="51">
        <f t="shared" si="1"/>
        <v>276.82191780821927</v>
      </c>
      <c r="C25" s="51">
        <f t="shared" si="2"/>
        <v>903.17808219178073</v>
      </c>
      <c r="D25" s="46">
        <f t="shared" si="3"/>
        <v>48.25</v>
      </c>
      <c r="E25" s="46">
        <f t="shared" si="3"/>
        <v>0</v>
      </c>
      <c r="F25" s="46">
        <f t="shared" si="3"/>
        <v>150</v>
      </c>
      <c r="G25" s="46">
        <f t="shared" si="3"/>
        <v>-7.191780821920446E-2</v>
      </c>
      <c r="H25" s="46">
        <f t="shared" si="3"/>
        <v>0</v>
      </c>
      <c r="I25" s="46">
        <f t="shared" si="3"/>
        <v>25.5</v>
      </c>
      <c r="J25" s="56">
        <f t="shared" si="3"/>
        <v>550</v>
      </c>
      <c r="K25" s="46">
        <f t="shared" si="3"/>
        <v>129.5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62</v>
      </c>
      <c r="R25" s="46">
        <v>0</v>
      </c>
      <c r="S25" s="46">
        <v>33</v>
      </c>
      <c r="T25" s="46" t="s">
        <v>60</v>
      </c>
      <c r="U25" s="46"/>
      <c r="V25" s="46">
        <v>87</v>
      </c>
      <c r="W25" s="46">
        <v>0</v>
      </c>
      <c r="X25" s="46">
        <f t="shared" si="6"/>
        <v>95</v>
      </c>
      <c r="Y25" s="106">
        <f>Summary!$C$20*M25+Summary!$C$21*N25+Summary!$C$22*O25+Summary!$C$23*P25+Summary!$C$24*Q25+Summary!$C$25*R25+Summary!$C$26*S25</f>
        <v>1022.79</v>
      </c>
      <c r="Z25" t="s">
        <v>72</v>
      </c>
      <c r="AA25">
        <v>87</v>
      </c>
      <c r="AB25">
        <v>87</v>
      </c>
      <c r="AK25" s="5" t="s">
        <v>71</v>
      </c>
      <c r="AL25" s="26" t="s">
        <v>73</v>
      </c>
      <c r="AM25" s="28" t="s">
        <v>81</v>
      </c>
    </row>
    <row r="26" spans="1:39" x14ac:dyDescent="0.3">
      <c r="A26">
        <v>23</v>
      </c>
      <c r="B26" s="51">
        <f t="shared" si="1"/>
        <v>364.32191780821927</v>
      </c>
      <c r="C26" s="51">
        <f>SUM(D26:K26)</f>
        <v>815.67808219178073</v>
      </c>
      <c r="D26" s="46">
        <f t="shared" si="3"/>
        <v>0.25</v>
      </c>
      <c r="E26" s="46">
        <f t="shared" si="3"/>
        <v>0</v>
      </c>
      <c r="F26" s="46">
        <f t="shared" si="3"/>
        <v>150</v>
      </c>
      <c r="G26" s="46">
        <f t="shared" si="3"/>
        <v>-7.191780821920446E-2</v>
      </c>
      <c r="H26" s="46">
        <f t="shared" si="3"/>
        <v>0</v>
      </c>
      <c r="I26" s="46">
        <f t="shared" si="3"/>
        <v>0</v>
      </c>
      <c r="J26" s="56">
        <f t="shared" si="3"/>
        <v>550</v>
      </c>
      <c r="K26" s="46">
        <f t="shared" si="3"/>
        <v>115.5</v>
      </c>
      <c r="L26" s="46">
        <v>48</v>
      </c>
      <c r="M26" s="46">
        <v>0</v>
      </c>
      <c r="N26" s="46">
        <v>0</v>
      </c>
      <c r="O26" s="46">
        <v>0</v>
      </c>
      <c r="P26" s="46">
        <v>0</v>
      </c>
      <c r="Q26" s="46">
        <v>25.5</v>
      </c>
      <c r="R26" s="46">
        <v>0</v>
      </c>
      <c r="S26" s="46">
        <f>26/65*35</f>
        <v>14</v>
      </c>
      <c r="T26" s="46" t="s">
        <v>60</v>
      </c>
      <c r="U26" s="46"/>
      <c r="V26" s="46">
        <v>87</v>
      </c>
      <c r="W26" s="46">
        <v>0</v>
      </c>
      <c r="X26" s="46">
        <f t="shared" si="6"/>
        <v>87.5</v>
      </c>
      <c r="Y26" s="106">
        <f>Summary!$C$20*M26+Summary!$C$21*N26+Summary!$C$22*O26+Summary!$C$23*P26+Summary!$C$24*Q26+Summary!$C$25*R26+Summary!$C$26*S26</f>
        <v>424.92499999999995</v>
      </c>
      <c r="Z26" t="s">
        <v>72</v>
      </c>
      <c r="AA26">
        <v>87</v>
      </c>
      <c r="AB26">
        <v>87</v>
      </c>
      <c r="AK26" s="5" t="s">
        <v>71</v>
      </c>
      <c r="AL26" s="26" t="s">
        <v>73</v>
      </c>
      <c r="AM26" s="28" t="s">
        <v>82</v>
      </c>
    </row>
    <row r="27" spans="1:39" x14ac:dyDescent="0.3">
      <c r="A27">
        <v>24</v>
      </c>
      <c r="B27" s="51">
        <f t="shared" si="1"/>
        <v>454.32191780821927</v>
      </c>
      <c r="C27" s="51">
        <f>SUM(D27:K27)</f>
        <v>725.67808219178073</v>
      </c>
      <c r="D27" s="46">
        <f t="shared" si="3"/>
        <v>0.25</v>
      </c>
      <c r="E27" s="46">
        <f t="shared" si="3"/>
        <v>0</v>
      </c>
      <c r="F27" s="46">
        <f t="shared" si="3"/>
        <v>150</v>
      </c>
      <c r="G27" s="46">
        <f t="shared" si="3"/>
        <v>-7.191780821920446E-2</v>
      </c>
      <c r="H27" s="46">
        <f t="shared" si="3"/>
        <v>0</v>
      </c>
      <c r="I27" s="46">
        <f t="shared" si="3"/>
        <v>0</v>
      </c>
      <c r="J27" s="55">
        <f t="shared" si="3"/>
        <v>460</v>
      </c>
      <c r="K27" s="46">
        <f t="shared" si="3"/>
        <v>115.5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46"/>
      <c r="R27" s="46">
        <v>90</v>
      </c>
      <c r="S27" s="46">
        <v>0</v>
      </c>
      <c r="T27" s="46" t="s">
        <v>60</v>
      </c>
      <c r="U27" s="46"/>
      <c r="V27" s="46">
        <v>87</v>
      </c>
      <c r="W27" s="46">
        <v>0</v>
      </c>
      <c r="X27" s="46">
        <f t="shared" si="6"/>
        <v>90</v>
      </c>
      <c r="Y27" s="106">
        <f>Summary!$C$20*M27+Summary!$C$21*N27+Summary!$C$22*O27+Summary!$C$23*P27+Summary!$C$24*Q27+Summary!$C$25*R27+Summary!$C$26*S27</f>
        <v>898.2</v>
      </c>
      <c r="Z27" t="s">
        <v>72</v>
      </c>
      <c r="AA27">
        <v>87</v>
      </c>
      <c r="AB27">
        <v>87</v>
      </c>
      <c r="AK27" s="5" t="s">
        <v>80</v>
      </c>
      <c r="AL27" s="26" t="s">
        <v>73</v>
      </c>
      <c r="AM27" s="28" t="s">
        <v>83</v>
      </c>
    </row>
    <row r="28" spans="1:39" x14ac:dyDescent="0.3">
      <c r="A28">
        <v>25</v>
      </c>
      <c r="B28" s="51">
        <f t="shared" si="1"/>
        <v>544.32191780821927</v>
      </c>
      <c r="C28" s="51">
        <f t="shared" si="2"/>
        <v>635.67808219178073</v>
      </c>
      <c r="D28" s="46">
        <f t="shared" si="3"/>
        <v>0.25</v>
      </c>
      <c r="E28" s="46">
        <f t="shared" si="3"/>
        <v>0</v>
      </c>
      <c r="F28" s="46">
        <f t="shared" si="3"/>
        <v>150</v>
      </c>
      <c r="G28" s="46">
        <f t="shared" si="3"/>
        <v>-7.191780821920446E-2</v>
      </c>
      <c r="H28" s="46">
        <f t="shared" si="3"/>
        <v>0</v>
      </c>
      <c r="I28" s="46">
        <f t="shared" si="3"/>
        <v>0</v>
      </c>
      <c r="J28" s="46">
        <f t="shared" si="3"/>
        <v>370</v>
      </c>
      <c r="K28" s="46">
        <f t="shared" si="3"/>
        <v>115.5</v>
      </c>
      <c r="L28" s="46">
        <v>0</v>
      </c>
      <c r="M28" s="46">
        <v>0</v>
      </c>
      <c r="N28" s="46">
        <v>0</v>
      </c>
      <c r="O28" s="46">
        <v>0</v>
      </c>
      <c r="P28" s="46">
        <v>0</v>
      </c>
      <c r="Q28" s="46"/>
      <c r="R28" s="46">
        <v>90</v>
      </c>
      <c r="S28" s="46">
        <v>0</v>
      </c>
      <c r="T28" s="46" t="s">
        <v>60</v>
      </c>
      <c r="U28" s="46"/>
      <c r="V28" s="46">
        <v>87</v>
      </c>
      <c r="W28" s="46">
        <v>0</v>
      </c>
      <c r="X28" s="46">
        <f t="shared" si="6"/>
        <v>90</v>
      </c>
      <c r="Y28" s="106">
        <f>Summary!$C$20*M28+Summary!$C$21*N28+Summary!$C$22*O28+Summary!$C$23*P28+Summary!$C$24*Q28+Summary!$C$25*R28+Summary!$C$26*S28</f>
        <v>898.2</v>
      </c>
      <c r="Z28" t="s">
        <v>72</v>
      </c>
      <c r="AA28">
        <v>87</v>
      </c>
      <c r="AB28">
        <v>87</v>
      </c>
      <c r="AL28" s="26" t="s">
        <v>63</v>
      </c>
      <c r="AM28" s="28" t="s">
        <v>58</v>
      </c>
    </row>
    <row r="29" spans="1:39" x14ac:dyDescent="0.3">
      <c r="A29">
        <v>26</v>
      </c>
      <c r="B29" s="51">
        <f t="shared" si="1"/>
        <v>74.321917808219268</v>
      </c>
      <c r="C29" s="51">
        <f t="shared" si="2"/>
        <v>1105.6780821917807</v>
      </c>
      <c r="D29" s="56">
        <f>D28-L29 +360</f>
        <v>360.25</v>
      </c>
      <c r="E29" s="46">
        <f t="shared" si="3"/>
        <v>0</v>
      </c>
      <c r="F29" s="46">
        <f t="shared" si="3"/>
        <v>150</v>
      </c>
      <c r="G29" s="46">
        <f>G28-O29 + 200</f>
        <v>199.92808219178079</v>
      </c>
      <c r="H29" s="46">
        <f t="shared" si="3"/>
        <v>0</v>
      </c>
      <c r="I29" s="46">
        <f t="shared" si="3"/>
        <v>0</v>
      </c>
      <c r="J29" s="46">
        <f t="shared" si="3"/>
        <v>280</v>
      </c>
      <c r="K29" s="46">
        <f t="shared" si="3"/>
        <v>115.5</v>
      </c>
      <c r="L29" s="46">
        <v>0</v>
      </c>
      <c r="M29" s="46">
        <v>0</v>
      </c>
      <c r="N29" s="46">
        <v>0</v>
      </c>
      <c r="O29" s="46">
        <v>0</v>
      </c>
      <c r="P29" s="46">
        <v>0</v>
      </c>
      <c r="Q29" s="46"/>
      <c r="R29" s="46">
        <v>90</v>
      </c>
      <c r="S29" s="46"/>
      <c r="T29" s="46" t="s">
        <v>60</v>
      </c>
      <c r="U29" s="46"/>
      <c r="V29" s="46">
        <v>12</v>
      </c>
      <c r="W29" s="46">
        <v>0</v>
      </c>
      <c r="X29" s="46">
        <f t="shared" si="6"/>
        <v>90</v>
      </c>
      <c r="Y29" s="106">
        <f>Summary!$C$20*M29+Summary!$C$21*N29+Summary!$C$22*O29+Summary!$C$23*P29+Summary!$C$24*Q29+Summary!$C$25*R29+Summary!$C$26*S29</f>
        <v>898.2</v>
      </c>
      <c r="Z29" t="s">
        <v>72</v>
      </c>
      <c r="AA29">
        <v>12</v>
      </c>
      <c r="AB29">
        <v>87</v>
      </c>
      <c r="AL29" s="26" t="s">
        <v>63</v>
      </c>
      <c r="AM29" s="28" t="s">
        <v>58</v>
      </c>
    </row>
    <row r="30" spans="1:39" x14ac:dyDescent="0.3">
      <c r="A30">
        <v>27</v>
      </c>
      <c r="B30" s="51">
        <f t="shared" si="1"/>
        <v>164.32191780821927</v>
      </c>
      <c r="C30" s="51">
        <f t="shared" si="2"/>
        <v>1015.6780821917807</v>
      </c>
      <c r="D30" s="56">
        <f t="shared" si="3"/>
        <v>360.25</v>
      </c>
      <c r="E30" s="46">
        <f t="shared" si="3"/>
        <v>0</v>
      </c>
      <c r="F30" s="46">
        <f t="shared" si="3"/>
        <v>150</v>
      </c>
      <c r="G30" s="46">
        <f t="shared" si="3"/>
        <v>199.92808219178079</v>
      </c>
      <c r="H30" s="46">
        <f t="shared" si="3"/>
        <v>0</v>
      </c>
      <c r="I30" s="46">
        <f t="shared" si="3"/>
        <v>0</v>
      </c>
      <c r="J30" s="46">
        <f t="shared" si="3"/>
        <v>190</v>
      </c>
      <c r="K30" s="46">
        <f t="shared" si="3"/>
        <v>115.5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/>
      <c r="R30" s="46">
        <v>90</v>
      </c>
      <c r="S30" s="46">
        <v>0</v>
      </c>
      <c r="T30" s="46" t="s">
        <v>54</v>
      </c>
      <c r="U30" s="46"/>
      <c r="V30" s="46">
        <v>95</v>
      </c>
      <c r="W30" s="46">
        <v>0</v>
      </c>
      <c r="X30" s="46">
        <f t="shared" si="6"/>
        <v>90</v>
      </c>
      <c r="Y30" s="106">
        <f>Summary!$C$20*M30+Summary!$C$21*N30+Summary!$C$22*O30+Summary!$C$23*P30+Summary!$C$24*Q30+Summary!$C$25*R30+Summary!$C$26*S30</f>
        <v>898.2</v>
      </c>
      <c r="Z30" t="s">
        <v>72</v>
      </c>
      <c r="AA30">
        <v>95</v>
      </c>
      <c r="AB30">
        <v>95</v>
      </c>
      <c r="AL30" s="26" t="s">
        <v>71</v>
      </c>
      <c r="AM30" s="28" t="s">
        <v>58</v>
      </c>
    </row>
    <row r="31" spans="1:39" x14ac:dyDescent="0.3">
      <c r="A31">
        <v>28</v>
      </c>
      <c r="B31" s="51">
        <f t="shared" si="1"/>
        <v>259.32191780821927</v>
      </c>
      <c r="C31" s="51">
        <f t="shared" si="2"/>
        <v>920.67808219178073</v>
      </c>
      <c r="D31" s="56">
        <f t="shared" si="3"/>
        <v>360.25</v>
      </c>
      <c r="E31" s="46">
        <f t="shared" si="3"/>
        <v>0</v>
      </c>
      <c r="F31" s="46">
        <f t="shared" si="3"/>
        <v>150</v>
      </c>
      <c r="G31" s="46">
        <f t="shared" si="3"/>
        <v>199.92808219178079</v>
      </c>
      <c r="H31" s="46">
        <f t="shared" si="3"/>
        <v>0</v>
      </c>
      <c r="I31" s="46">
        <f t="shared" si="3"/>
        <v>0</v>
      </c>
      <c r="J31" s="46">
        <f t="shared" si="3"/>
        <v>95</v>
      </c>
      <c r="K31" s="46">
        <f t="shared" si="3"/>
        <v>115.5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/>
      <c r="R31" s="46">
        <v>95</v>
      </c>
      <c r="S31" s="46">
        <v>0</v>
      </c>
      <c r="T31" s="46" t="s">
        <v>54</v>
      </c>
      <c r="U31" s="46"/>
      <c r="V31" s="46">
        <v>55</v>
      </c>
      <c r="W31" s="46">
        <v>0</v>
      </c>
      <c r="X31" s="46">
        <f t="shared" si="6"/>
        <v>95</v>
      </c>
      <c r="Y31" s="106">
        <f>Summary!$C$20*M31+Summary!$C$21*N31+Summary!$C$22*O31+Summary!$C$23*P31+Summary!$C$24*Q31+Summary!$C$25*R31+Summary!$C$26*S31</f>
        <v>948.1</v>
      </c>
      <c r="Z31" t="s">
        <v>72</v>
      </c>
      <c r="AA31">
        <v>55</v>
      </c>
      <c r="AB31">
        <v>95</v>
      </c>
      <c r="AL31" s="26" t="s">
        <v>71</v>
      </c>
      <c r="AM31" s="28" t="s">
        <v>73</v>
      </c>
    </row>
    <row r="32" spans="1:39" x14ac:dyDescent="0.3">
      <c r="A32">
        <v>29</v>
      </c>
      <c r="B32" s="51">
        <f t="shared" si="1"/>
        <v>354.32191780821927</v>
      </c>
      <c r="C32" s="51">
        <f t="shared" si="2"/>
        <v>825.67808219178073</v>
      </c>
      <c r="D32" s="56">
        <f t="shared" si="3"/>
        <v>360.25</v>
      </c>
      <c r="E32" s="46">
        <f t="shared" si="3"/>
        <v>0</v>
      </c>
      <c r="F32" s="46">
        <f t="shared" si="3"/>
        <v>150</v>
      </c>
      <c r="G32" s="46">
        <f t="shared" si="3"/>
        <v>199.92808219178079</v>
      </c>
      <c r="H32" s="46">
        <f t="shared" si="3"/>
        <v>0</v>
      </c>
      <c r="I32" s="46">
        <f t="shared" si="3"/>
        <v>0</v>
      </c>
      <c r="J32" s="46">
        <f t="shared" si="3"/>
        <v>0</v>
      </c>
      <c r="K32" s="46">
        <f t="shared" si="3"/>
        <v>115.5</v>
      </c>
      <c r="L32" s="46">
        <v>0</v>
      </c>
      <c r="M32" s="46">
        <v>0</v>
      </c>
      <c r="N32" s="46">
        <v>0</v>
      </c>
      <c r="O32" s="46">
        <v>0</v>
      </c>
      <c r="P32" s="46">
        <v>0</v>
      </c>
      <c r="Q32" s="46"/>
      <c r="R32" s="46">
        <v>95</v>
      </c>
      <c r="S32" s="46">
        <v>0</v>
      </c>
      <c r="T32" s="46" t="s">
        <v>75</v>
      </c>
      <c r="U32" s="46"/>
      <c r="V32" s="46">
        <v>95</v>
      </c>
      <c r="W32" s="46">
        <v>0</v>
      </c>
      <c r="X32" s="46">
        <f t="shared" si="6"/>
        <v>95</v>
      </c>
      <c r="Y32" s="106">
        <f>Summary!$C$20*M32+Summary!$C$21*N32+Summary!$C$22*O32+Summary!$C$23*P32+Summary!$C$24*Q32+Summary!$C$25*R32+Summary!$C$26*S32</f>
        <v>948.1</v>
      </c>
      <c r="Z32" t="s">
        <v>72</v>
      </c>
      <c r="AA32">
        <v>95</v>
      </c>
      <c r="AB32">
        <v>95</v>
      </c>
      <c r="AL32" s="26" t="s">
        <v>71</v>
      </c>
      <c r="AM32" s="28" t="s">
        <v>73</v>
      </c>
    </row>
    <row r="33" spans="1:39" x14ac:dyDescent="0.3">
      <c r="A33">
        <v>30</v>
      </c>
      <c r="B33" s="51">
        <f t="shared" si="1"/>
        <v>449.32191780821927</v>
      </c>
      <c r="C33" s="51">
        <f t="shared" si="2"/>
        <v>730.67808219178073</v>
      </c>
      <c r="D33" s="55">
        <f t="shared" si="3"/>
        <v>290.89999999999998</v>
      </c>
      <c r="E33" s="46">
        <f t="shared" si="3"/>
        <v>0</v>
      </c>
      <c r="F33" s="46">
        <f t="shared" si="3"/>
        <v>150</v>
      </c>
      <c r="G33" s="46">
        <f t="shared" si="3"/>
        <v>174.27808219178078</v>
      </c>
      <c r="H33" s="46">
        <f t="shared" si="3"/>
        <v>0</v>
      </c>
      <c r="I33" s="46">
        <f t="shared" si="3"/>
        <v>0</v>
      </c>
      <c r="J33" s="46">
        <f t="shared" si="3"/>
        <v>0</v>
      </c>
      <c r="K33" s="46">
        <f t="shared" si="3"/>
        <v>115.5</v>
      </c>
      <c r="L33" s="46">
        <f>(95-Q33)*0.73</f>
        <v>69.349999999999994</v>
      </c>
      <c r="M33" s="46">
        <v>0</v>
      </c>
      <c r="N33" s="46">
        <v>0</v>
      </c>
      <c r="O33" s="46">
        <f>(95-Q33)*0.27</f>
        <v>25.650000000000002</v>
      </c>
      <c r="P33" s="46">
        <v>0</v>
      </c>
      <c r="Q33" s="46"/>
      <c r="R33" s="46">
        <v>0</v>
      </c>
      <c r="S33" s="46">
        <v>0</v>
      </c>
      <c r="T33" s="46" t="s">
        <v>75</v>
      </c>
      <c r="U33" s="46"/>
      <c r="V33" s="46">
        <v>95</v>
      </c>
      <c r="W33" s="46">
        <v>0</v>
      </c>
      <c r="X33" s="46">
        <f t="shared" si="6"/>
        <v>95</v>
      </c>
      <c r="Y33" s="106">
        <f>Summary!$C$20*M33+Summary!$C$21*N33+Summary!$C$22*O33+Summary!$C$23*P33+Summary!$C$24*Q33+Summary!$C$25*R33+Summary!$C$26*S33</f>
        <v>402.96150000000006</v>
      </c>
      <c r="Z33" t="s">
        <v>72</v>
      </c>
      <c r="AA33">
        <v>95</v>
      </c>
      <c r="AB33">
        <v>95</v>
      </c>
      <c r="AL33" s="26" t="s">
        <v>84</v>
      </c>
      <c r="AM33" s="28" t="s">
        <v>73</v>
      </c>
    </row>
    <row r="34" spans="1:39" x14ac:dyDescent="0.3">
      <c r="A34">
        <v>31</v>
      </c>
      <c r="B34" s="51">
        <f t="shared" si="1"/>
        <v>544.32191780821927</v>
      </c>
      <c r="C34" s="51">
        <f t="shared" si="2"/>
        <v>635.67808219178073</v>
      </c>
      <c r="D34" s="46">
        <f t="shared" si="3"/>
        <v>221.54999999999998</v>
      </c>
      <c r="E34" s="46">
        <f t="shared" si="3"/>
        <v>0</v>
      </c>
      <c r="F34" s="46">
        <f t="shared" si="3"/>
        <v>150</v>
      </c>
      <c r="G34" s="46">
        <f t="shared" si="3"/>
        <v>148.62808219178078</v>
      </c>
      <c r="H34" s="46">
        <f t="shared" si="3"/>
        <v>0</v>
      </c>
      <c r="I34" s="46">
        <f t="shared" si="3"/>
        <v>0</v>
      </c>
      <c r="J34" s="46">
        <f t="shared" si="3"/>
        <v>0</v>
      </c>
      <c r="K34" s="46">
        <f t="shared" si="3"/>
        <v>115.5</v>
      </c>
      <c r="L34" s="46">
        <f>95*0.73</f>
        <v>69.349999999999994</v>
      </c>
      <c r="M34" s="46">
        <v>0</v>
      </c>
      <c r="N34" s="46">
        <v>0</v>
      </c>
      <c r="O34" s="46">
        <f>95*0.27</f>
        <v>25.650000000000002</v>
      </c>
      <c r="P34" s="46">
        <v>0</v>
      </c>
      <c r="Q34" s="46">
        <v>0</v>
      </c>
      <c r="R34" s="46">
        <v>0</v>
      </c>
      <c r="S34" s="46">
        <v>0</v>
      </c>
      <c r="T34" s="46"/>
      <c r="U34" s="46"/>
      <c r="V34" s="46"/>
      <c r="W34" s="46"/>
      <c r="X34" s="46">
        <f t="shared" si="6"/>
        <v>95</v>
      </c>
      <c r="Y34" s="106">
        <f>Summary!$C$20*M34+Summary!$C$21*N34+Summary!$C$22*O34+Summary!$C$23*P34+Summary!$C$24*Q34+Summary!$C$25*R34+Summary!$C$26*S34</f>
        <v>402.96150000000006</v>
      </c>
      <c r="AM34" s="28" t="s">
        <v>63</v>
      </c>
    </row>
    <row r="35" spans="1:39" ht="13.2" customHeight="1" x14ac:dyDescent="0.3">
      <c r="A35">
        <v>32</v>
      </c>
      <c r="B35" s="51">
        <f t="shared" si="1"/>
        <v>109.32191780821927</v>
      </c>
      <c r="C35" s="51">
        <f t="shared" si="2"/>
        <v>1070.6780821917807</v>
      </c>
      <c r="D35" s="46">
        <f t="shared" si="3"/>
        <v>152.19999999999999</v>
      </c>
      <c r="E35" s="46">
        <f t="shared" si="3"/>
        <v>0</v>
      </c>
      <c r="F35" s="46">
        <f t="shared" si="3"/>
        <v>150</v>
      </c>
      <c r="G35" s="46">
        <f t="shared" si="3"/>
        <v>122.97808219178077</v>
      </c>
      <c r="H35" s="56">
        <f>H34-P35 + 150</f>
        <v>150</v>
      </c>
      <c r="I35" s="56">
        <f>I34-Q35 + 100</f>
        <v>100</v>
      </c>
      <c r="J35" s="56">
        <f>J34-R35 + 280</f>
        <v>280</v>
      </c>
      <c r="K35" s="46">
        <f t="shared" si="3"/>
        <v>115.5</v>
      </c>
      <c r="L35" s="46">
        <f>95*0.73</f>
        <v>69.349999999999994</v>
      </c>
      <c r="M35" s="46">
        <v>0</v>
      </c>
      <c r="N35" s="46">
        <v>0</v>
      </c>
      <c r="O35" s="46">
        <f>95*0.27</f>
        <v>25.650000000000002</v>
      </c>
      <c r="P35" s="46">
        <v>0</v>
      </c>
      <c r="Q35" s="46">
        <v>0</v>
      </c>
      <c r="R35" s="46">
        <v>0</v>
      </c>
      <c r="S35" s="46">
        <v>0</v>
      </c>
      <c r="T35" s="46"/>
      <c r="U35" s="46"/>
      <c r="V35" s="46"/>
      <c r="W35" s="46"/>
      <c r="X35" s="46">
        <f t="shared" si="6"/>
        <v>95</v>
      </c>
      <c r="Y35" s="106">
        <f>Summary!$C$20*M35+Summary!$C$21*N35+Summary!$C$22*O35+Summary!$C$23*P35+Summary!$C$24*Q35+Summary!$C$25*R35+Summary!$C$26*S35</f>
        <v>402.96150000000006</v>
      </c>
      <c r="AM35" s="28" t="s">
        <v>63</v>
      </c>
    </row>
    <row r="36" spans="1:39" x14ac:dyDescent="0.3">
      <c r="A36">
        <v>33</v>
      </c>
      <c r="B36" s="51">
        <f t="shared" si="1"/>
        <v>204.32191780821927</v>
      </c>
      <c r="C36" s="51">
        <f t="shared" si="2"/>
        <v>975.67808219178073</v>
      </c>
      <c r="D36" s="46">
        <f t="shared" si="3"/>
        <v>82.85</v>
      </c>
      <c r="E36" s="46">
        <f t="shared" si="3"/>
        <v>0</v>
      </c>
      <c r="F36" s="46">
        <f t="shared" si="3"/>
        <v>150</v>
      </c>
      <c r="G36" s="46">
        <f t="shared" si="3"/>
        <v>97.328082191780766</v>
      </c>
      <c r="H36" s="56">
        <f t="shared" si="3"/>
        <v>150</v>
      </c>
      <c r="I36" s="56">
        <f t="shared" si="3"/>
        <v>100</v>
      </c>
      <c r="J36" s="56">
        <f t="shared" si="3"/>
        <v>280</v>
      </c>
      <c r="K36" s="46">
        <f t="shared" si="3"/>
        <v>115.5</v>
      </c>
      <c r="L36" s="46">
        <f t="shared" ref="L36:L37" si="7">95*0.73</f>
        <v>69.349999999999994</v>
      </c>
      <c r="M36" s="46">
        <v>0</v>
      </c>
      <c r="N36" s="46">
        <v>0</v>
      </c>
      <c r="O36" s="46">
        <f t="shared" ref="O36:O37" si="8">95*0.27</f>
        <v>25.650000000000002</v>
      </c>
      <c r="P36" s="46">
        <v>0</v>
      </c>
      <c r="Q36" s="46">
        <v>0</v>
      </c>
      <c r="R36" s="46">
        <v>0</v>
      </c>
      <c r="S36" s="46">
        <v>0</v>
      </c>
      <c r="T36" s="46"/>
      <c r="U36" s="46"/>
      <c r="V36" s="46"/>
      <c r="W36" s="46"/>
      <c r="X36" s="46">
        <f t="shared" si="6"/>
        <v>95</v>
      </c>
      <c r="Y36" s="106">
        <f>Summary!$C$20*M36+Summary!$C$21*N36+Summary!$C$22*O36+Summary!$C$23*P36+Summary!$C$24*Q36+Summary!$C$25*R36+Summary!$C$26*S36</f>
        <v>402.96150000000006</v>
      </c>
      <c r="AM36" s="28" t="s">
        <v>71</v>
      </c>
    </row>
    <row r="37" spans="1:39" x14ac:dyDescent="0.3">
      <c r="A37">
        <v>34</v>
      </c>
      <c r="B37" s="51">
        <f t="shared" si="1"/>
        <v>299.32191780821927</v>
      </c>
      <c r="C37" s="51">
        <f t="shared" si="2"/>
        <v>880.67808219178073</v>
      </c>
      <c r="D37" s="46">
        <f t="shared" si="3"/>
        <v>13.5</v>
      </c>
      <c r="E37" s="46">
        <f t="shared" si="3"/>
        <v>0</v>
      </c>
      <c r="F37" s="46">
        <f t="shared" si="3"/>
        <v>150</v>
      </c>
      <c r="G37" s="46">
        <f t="shared" si="3"/>
        <v>71.67808219178076</v>
      </c>
      <c r="H37" s="56">
        <f t="shared" si="3"/>
        <v>150</v>
      </c>
      <c r="I37" s="56">
        <f t="shared" si="3"/>
        <v>100</v>
      </c>
      <c r="J37" s="56">
        <f t="shared" si="3"/>
        <v>280</v>
      </c>
      <c r="K37" s="46">
        <f t="shared" si="3"/>
        <v>115.5</v>
      </c>
      <c r="L37" s="46">
        <f t="shared" si="7"/>
        <v>69.349999999999994</v>
      </c>
      <c r="M37" s="46">
        <v>0</v>
      </c>
      <c r="N37" s="46">
        <v>0</v>
      </c>
      <c r="O37" s="46">
        <f t="shared" si="8"/>
        <v>25.650000000000002</v>
      </c>
      <c r="P37" s="46">
        <v>0</v>
      </c>
      <c r="Q37" s="46">
        <v>0</v>
      </c>
      <c r="R37" s="46">
        <v>0</v>
      </c>
      <c r="S37" s="46">
        <v>0</v>
      </c>
      <c r="T37" s="46"/>
      <c r="U37" s="46"/>
      <c r="V37" s="46"/>
      <c r="W37" s="46"/>
      <c r="X37" s="46">
        <f t="shared" si="6"/>
        <v>95</v>
      </c>
      <c r="Y37" s="106">
        <f>Summary!$C$20*M37+Summary!$C$21*N37+Summary!$C$22*O37+Summary!$C$23*P37+Summary!$C$24*Q37+Summary!$C$25*R37+Summary!$C$26*S37</f>
        <v>402.96150000000006</v>
      </c>
      <c r="AM37" s="28" t="s">
        <v>71</v>
      </c>
    </row>
    <row r="38" spans="1:39" x14ac:dyDescent="0.3">
      <c r="A38">
        <v>35</v>
      </c>
      <c r="B38" s="51">
        <f t="shared" si="1"/>
        <v>318</v>
      </c>
      <c r="C38" s="51">
        <f t="shared" si="2"/>
        <v>862</v>
      </c>
      <c r="D38" s="46">
        <f>D37-L38</f>
        <v>0</v>
      </c>
      <c r="E38" s="46">
        <f t="shared" si="3"/>
        <v>0</v>
      </c>
      <c r="F38" s="46">
        <f t="shared" si="3"/>
        <v>150</v>
      </c>
      <c r="G38" s="46">
        <f t="shared" si="3"/>
        <v>66.499999999999943</v>
      </c>
      <c r="H38" s="56">
        <f t="shared" si="3"/>
        <v>150</v>
      </c>
      <c r="I38" s="56">
        <f t="shared" si="3"/>
        <v>100</v>
      </c>
      <c r="J38" s="56">
        <f t="shared" si="3"/>
        <v>280</v>
      </c>
      <c r="K38" s="46">
        <f t="shared" si="3"/>
        <v>115.5</v>
      </c>
      <c r="L38" s="46">
        <v>13.5</v>
      </c>
      <c r="M38" s="46">
        <v>0</v>
      </c>
      <c r="N38" s="46">
        <v>0</v>
      </c>
      <c r="O38" s="46">
        <f>14/73*27</f>
        <v>5.1780821917808213</v>
      </c>
      <c r="P38" s="46">
        <v>0</v>
      </c>
      <c r="Q38" s="46"/>
      <c r="R38" s="46">
        <v>0</v>
      </c>
      <c r="S38" s="46">
        <v>0</v>
      </c>
      <c r="T38" s="46"/>
      <c r="U38" s="46"/>
      <c r="V38" s="46"/>
      <c r="W38" s="46"/>
      <c r="X38" s="46">
        <f t="shared" si="6"/>
        <v>18.67808219178082</v>
      </c>
      <c r="Y38" s="106">
        <f>Summary!$C$20*M38+Summary!$C$21*N38+Summary!$C$22*O38+Summary!$C$23*P38+Summary!$C$24*Q38+Summary!$C$25*R38+Summary!$C$26*S38</f>
        <v>81.347671232876706</v>
      </c>
      <c r="AM38" s="28" t="s">
        <v>71</v>
      </c>
    </row>
    <row r="39" spans="1:39" x14ac:dyDescent="0.3">
      <c r="A39">
        <v>36</v>
      </c>
      <c r="B39" s="51">
        <f t="shared" si="1"/>
        <v>318</v>
      </c>
      <c r="C39" s="51">
        <f t="shared" si="2"/>
        <v>862</v>
      </c>
      <c r="D39" s="46">
        <f t="shared" si="3"/>
        <v>0</v>
      </c>
      <c r="E39" s="46">
        <f t="shared" si="3"/>
        <v>0</v>
      </c>
      <c r="F39" s="46">
        <f t="shared" si="3"/>
        <v>150</v>
      </c>
      <c r="G39" s="46">
        <f t="shared" si="3"/>
        <v>66.499999999999943</v>
      </c>
      <c r="H39" s="55">
        <f t="shared" si="3"/>
        <v>150</v>
      </c>
      <c r="I39" s="55">
        <f t="shared" si="3"/>
        <v>100</v>
      </c>
      <c r="J39" s="55">
        <f t="shared" si="3"/>
        <v>280</v>
      </c>
      <c r="K39" s="46">
        <f t="shared" si="3"/>
        <v>115.5</v>
      </c>
      <c r="L39" s="46"/>
      <c r="M39" s="46">
        <v>0</v>
      </c>
      <c r="N39" s="46">
        <v>0</v>
      </c>
      <c r="O39" s="46">
        <f>L39/73*27</f>
        <v>0</v>
      </c>
      <c r="P39" s="46">
        <v>0</v>
      </c>
      <c r="Q39" s="46"/>
      <c r="R39" s="46">
        <v>0</v>
      </c>
      <c r="S39" s="46">
        <v>0</v>
      </c>
      <c r="T39" s="46"/>
      <c r="U39" s="46"/>
      <c r="V39" s="46"/>
      <c r="W39" s="46"/>
      <c r="X39" s="46">
        <f t="shared" si="6"/>
        <v>0</v>
      </c>
      <c r="Y39" s="106">
        <f>Summary!$C$20*M39+Summary!$C$21*N39+Summary!$C$22*O39+Summary!$C$23*P39+Summary!$C$24*Q39+Summary!$C$25*R39+Summary!$C$26*S39</f>
        <v>0</v>
      </c>
      <c r="AM39" s="28" t="s">
        <v>126</v>
      </c>
    </row>
    <row r="40" spans="1:39" x14ac:dyDescent="0.3">
      <c r="A40">
        <v>37</v>
      </c>
      <c r="B40" s="51">
        <f t="shared" si="1"/>
        <v>413</v>
      </c>
      <c r="C40" s="51">
        <f t="shared" si="2"/>
        <v>767</v>
      </c>
      <c r="D40" s="46">
        <f t="shared" si="3"/>
        <v>0</v>
      </c>
      <c r="E40" s="46">
        <f t="shared" si="3"/>
        <v>0</v>
      </c>
      <c r="F40" s="46">
        <f t="shared" si="3"/>
        <v>93</v>
      </c>
      <c r="G40" s="46">
        <f t="shared" si="3"/>
        <v>66.499999999999943</v>
      </c>
      <c r="H40" s="46">
        <f t="shared" si="3"/>
        <v>112</v>
      </c>
      <c r="I40" s="46">
        <f t="shared" si="3"/>
        <v>100</v>
      </c>
      <c r="J40" s="46">
        <f t="shared" si="3"/>
        <v>280</v>
      </c>
      <c r="K40" s="46">
        <f t="shared" si="3"/>
        <v>115.5</v>
      </c>
      <c r="L40" s="46">
        <v>0</v>
      </c>
      <c r="M40" s="46">
        <v>0</v>
      </c>
      <c r="N40" s="46">
        <f>(95-Q40)*0.6</f>
        <v>57</v>
      </c>
      <c r="O40" s="46">
        <v>0</v>
      </c>
      <c r="P40" s="46">
        <f>(95-Q40)*0.4</f>
        <v>38</v>
      </c>
      <c r="Q40" s="46"/>
      <c r="R40" s="46">
        <v>0</v>
      </c>
      <c r="S40" s="46">
        <v>0</v>
      </c>
      <c r="T40" s="46"/>
      <c r="U40" s="46"/>
      <c r="V40" s="46"/>
      <c r="W40" s="46"/>
      <c r="X40" s="46">
        <f t="shared" si="6"/>
        <v>95</v>
      </c>
      <c r="Y40" s="106">
        <f>Summary!$C$20*M40+Summary!$C$21*N40+Summary!$C$22*O40+Summary!$C$23*P40+Summary!$C$24*Q40+Summary!$C$25*R40+Summary!$C$26*S40</f>
        <v>1783.9099999999999</v>
      </c>
    </row>
    <row r="41" spans="1:39" x14ac:dyDescent="0.3">
      <c r="A41">
        <v>38</v>
      </c>
      <c r="B41" s="51">
        <f t="shared" si="1"/>
        <v>508.40000000000009</v>
      </c>
      <c r="C41" s="51">
        <f t="shared" si="2"/>
        <v>671.59999999999991</v>
      </c>
      <c r="D41" s="46">
        <f t="shared" si="3"/>
        <v>0</v>
      </c>
      <c r="E41" s="46">
        <f t="shared" si="3"/>
        <v>0</v>
      </c>
      <c r="F41" s="46">
        <f t="shared" si="3"/>
        <v>36</v>
      </c>
      <c r="G41" s="46">
        <f t="shared" si="3"/>
        <v>66.499999999999943</v>
      </c>
      <c r="H41" s="46">
        <f t="shared" si="3"/>
        <v>73.599999999999994</v>
      </c>
      <c r="I41" s="46">
        <f t="shared" si="3"/>
        <v>100</v>
      </c>
      <c r="J41" s="46">
        <f t="shared" si="3"/>
        <v>280</v>
      </c>
      <c r="K41" s="46">
        <f t="shared" si="3"/>
        <v>115.5</v>
      </c>
      <c r="L41" s="46">
        <v>0</v>
      </c>
      <c r="M41" s="46">
        <v>0</v>
      </c>
      <c r="N41" s="46">
        <v>57</v>
      </c>
      <c r="O41" s="46">
        <v>0</v>
      </c>
      <c r="P41" s="46">
        <f>96*0.4</f>
        <v>38.400000000000006</v>
      </c>
      <c r="Q41" s="46">
        <v>0</v>
      </c>
      <c r="R41" s="46">
        <v>0</v>
      </c>
      <c r="S41" s="46">
        <v>0</v>
      </c>
      <c r="T41" s="46"/>
      <c r="U41" s="46"/>
      <c r="V41" s="46"/>
      <c r="W41" s="46"/>
      <c r="X41" s="46">
        <f t="shared" si="6"/>
        <v>95.4</v>
      </c>
      <c r="Y41" s="106">
        <f>Summary!$C$20*M41+Summary!$C$21*N41+Summary!$C$22*O41+Summary!$C$23*P41+Summary!$C$24*Q41+Summary!$C$25*R41+Summary!$C$26*S41</f>
        <v>1791.606</v>
      </c>
    </row>
    <row r="42" spans="1:39" x14ac:dyDescent="0.3">
      <c r="A42">
        <v>39</v>
      </c>
      <c r="B42" s="51">
        <f t="shared" si="1"/>
        <v>603.40000000000009</v>
      </c>
      <c r="C42" s="51">
        <f t="shared" si="2"/>
        <v>576.59999999999991</v>
      </c>
      <c r="D42" s="46">
        <f t="shared" si="3"/>
        <v>0</v>
      </c>
      <c r="E42" s="46">
        <f t="shared" si="3"/>
        <v>0</v>
      </c>
      <c r="F42" s="46">
        <f t="shared" si="3"/>
        <v>-12</v>
      </c>
      <c r="G42" s="46">
        <f t="shared" si="3"/>
        <v>66.499999999999943</v>
      </c>
      <c r="H42" s="46">
        <f t="shared" si="3"/>
        <v>41.599999999999994</v>
      </c>
      <c r="I42" s="46">
        <f t="shared" si="3"/>
        <v>100</v>
      </c>
      <c r="J42" s="46">
        <f t="shared" si="3"/>
        <v>265</v>
      </c>
      <c r="K42" s="46">
        <f t="shared" si="3"/>
        <v>115.5</v>
      </c>
      <c r="L42" s="46">
        <v>0</v>
      </c>
      <c r="M42" s="46">
        <v>0</v>
      </c>
      <c r="N42" s="46">
        <v>48</v>
      </c>
      <c r="O42" s="46">
        <v>0</v>
      </c>
      <c r="P42" s="46">
        <f>N42/60*40</f>
        <v>32</v>
      </c>
      <c r="Q42" s="46">
        <v>0</v>
      </c>
      <c r="R42" s="46">
        <v>15</v>
      </c>
      <c r="S42" s="46">
        <v>0</v>
      </c>
      <c r="T42" s="46"/>
      <c r="U42" s="46"/>
      <c r="V42" s="46"/>
      <c r="W42" s="46"/>
      <c r="X42" s="46">
        <f t="shared" si="6"/>
        <v>95</v>
      </c>
      <c r="Y42" s="106">
        <f>Summary!$C$20*M42+Summary!$C$21*N42+Summary!$C$22*O42+Summary!$C$23*P42+Summary!$C$24*Q42+Summary!$C$25*R42+Summary!$C$26*S42</f>
        <v>1651.9399999999998</v>
      </c>
    </row>
    <row r="43" spans="1:39" x14ac:dyDescent="0.3">
      <c r="A43">
        <v>40</v>
      </c>
      <c r="B43" s="51">
        <f t="shared" si="1"/>
        <v>698.40000000000009</v>
      </c>
      <c r="C43" s="51">
        <f t="shared" si="2"/>
        <v>481.59999999999991</v>
      </c>
      <c r="D43" s="46">
        <f t="shared" si="3"/>
        <v>0</v>
      </c>
      <c r="E43" s="46">
        <f t="shared" si="3"/>
        <v>0</v>
      </c>
      <c r="F43" s="46">
        <f t="shared" si="3"/>
        <v>-12</v>
      </c>
      <c r="G43" s="46">
        <f t="shared" si="3"/>
        <v>66.499999999999943</v>
      </c>
      <c r="H43" s="46">
        <f t="shared" si="3"/>
        <v>41.599999999999994</v>
      </c>
      <c r="I43" s="46">
        <f t="shared" si="3"/>
        <v>100</v>
      </c>
      <c r="J43" s="46">
        <f t="shared" si="3"/>
        <v>170</v>
      </c>
      <c r="K43" s="46">
        <f t="shared" si="3"/>
        <v>115.5</v>
      </c>
      <c r="L43" s="46">
        <v>0</v>
      </c>
      <c r="M43" s="46">
        <v>0</v>
      </c>
      <c r="N43" s="46">
        <v>0</v>
      </c>
      <c r="O43" s="46">
        <v>0</v>
      </c>
      <c r="P43" s="46">
        <f>N43/73*27</f>
        <v>0</v>
      </c>
      <c r="Q43" s="46">
        <v>0</v>
      </c>
      <c r="R43" s="46">
        <f>95-P43-N43</f>
        <v>95</v>
      </c>
      <c r="S43" s="46">
        <v>0</v>
      </c>
      <c r="T43" s="46"/>
      <c r="U43" s="46"/>
      <c r="V43" s="46"/>
      <c r="W43" s="46"/>
      <c r="X43" s="46">
        <f t="shared" si="6"/>
        <v>95</v>
      </c>
      <c r="Y43" s="106">
        <f>Summary!$C$20*M43+Summary!$C$21*N43+Summary!$C$22*O43+Summary!$C$23*P43+Summary!$C$24*Q43+Summary!$C$25*R43+Summary!$C$26*S43</f>
        <v>948.1</v>
      </c>
    </row>
    <row r="44" spans="1:39" x14ac:dyDescent="0.3"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109">
        <f>SUM(Y4:Y43)</f>
        <v>31138.906000000006</v>
      </c>
      <c r="AI44" s="30" t="s">
        <v>127</v>
      </c>
      <c r="AJ44" s="30"/>
    </row>
    <row r="45" spans="1:39" x14ac:dyDescent="0.3">
      <c r="S45" s="40" t="s">
        <v>86</v>
      </c>
      <c r="X45" s="113">
        <f>AVERAGE(X4:X33)</f>
        <v>93.310730593607303</v>
      </c>
      <c r="Y45" t="s">
        <v>87</v>
      </c>
      <c r="AI45" s="52">
        <f>X45-'Scenario 2'!V45</f>
        <v>-0.91865212244208294</v>
      </c>
      <c r="AJ45" s="28" t="s">
        <v>87</v>
      </c>
    </row>
    <row r="46" spans="1:39" x14ac:dyDescent="0.3">
      <c r="S46" s="40" t="s">
        <v>88</v>
      </c>
      <c r="X46" s="113">
        <f>AVERAGE(X4:X43)</f>
        <v>89.460000000000008</v>
      </c>
      <c r="Y46" t="s">
        <v>87</v>
      </c>
      <c r="AI46" s="52">
        <f>X46-'Scenario 2'!V46</f>
        <v>-4.9462339824896873</v>
      </c>
      <c r="AJ46" s="28" t="s">
        <v>87</v>
      </c>
    </row>
    <row r="47" spans="1:39" x14ac:dyDescent="0.3">
      <c r="S47" s="40"/>
      <c r="Y47" s="28"/>
      <c r="AI47" s="29" t="s">
        <v>114</v>
      </c>
    </row>
    <row r="48" spans="1:39" x14ac:dyDescent="0.3">
      <c r="S48" s="40" t="s">
        <v>89</v>
      </c>
      <c r="X48" s="114">
        <f>SUM(X4:X43)</f>
        <v>3578.4</v>
      </c>
      <c r="Y48" t="s">
        <v>90</v>
      </c>
      <c r="AI48" s="30"/>
    </row>
    <row r="49" spans="19:36" x14ac:dyDescent="0.3">
      <c r="S49" s="40" t="s">
        <v>91</v>
      </c>
      <c r="X49">
        <f>C3</f>
        <v>1050</v>
      </c>
      <c r="Y49" t="s">
        <v>90</v>
      </c>
      <c r="AI49" s="30"/>
    </row>
    <row r="50" spans="19:36" x14ac:dyDescent="0.3">
      <c r="S50" s="40" t="s">
        <v>92</v>
      </c>
      <c r="X50">
        <f>(2910-150)+250</f>
        <v>3010</v>
      </c>
      <c r="Y50" t="s">
        <v>90</v>
      </c>
      <c r="AI50" s="30"/>
    </row>
    <row r="51" spans="19:36" x14ac:dyDescent="0.3">
      <c r="S51" s="40" t="s">
        <v>93</v>
      </c>
      <c r="X51" s="15">
        <f>C44</f>
        <v>0</v>
      </c>
      <c r="Y51" t="s">
        <v>90</v>
      </c>
      <c r="AI51" s="44">
        <f>X49+X50-X46*40</f>
        <v>481.59999999999945</v>
      </c>
      <c r="AJ51">
        <f>X49+X50</f>
        <v>4060</v>
      </c>
    </row>
    <row r="52" spans="19:36" x14ac:dyDescent="0.3">
      <c r="AJ52">
        <f>AJ51-X48</f>
        <v>481.59999999999991</v>
      </c>
    </row>
    <row r="53" spans="19:36" x14ac:dyDescent="0.3">
      <c r="S53" s="40" t="s">
        <v>73</v>
      </c>
      <c r="X53" s="115">
        <v>10</v>
      </c>
      <c r="Y53" t="s">
        <v>95</v>
      </c>
    </row>
    <row r="55" spans="19:36" x14ac:dyDescent="0.3">
      <c r="S55" s="40" t="s">
        <v>115</v>
      </c>
      <c r="X55" t="s">
        <v>128</v>
      </c>
      <c r="Y55" s="15"/>
    </row>
    <row r="56" spans="19:36" x14ac:dyDescent="0.3">
      <c r="X56" t="s">
        <v>129</v>
      </c>
    </row>
    <row r="57" spans="19:36" x14ac:dyDescent="0.3">
      <c r="X57" t="s">
        <v>130</v>
      </c>
    </row>
    <row r="58" spans="19:36" x14ac:dyDescent="0.3">
      <c r="X58" t="s">
        <v>131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7C63-F9CC-4AA0-9B1D-F0441679157C}">
  <dimension ref="A1:BQ56"/>
  <sheetViews>
    <sheetView zoomScale="70" zoomScaleNormal="70" workbookViewId="0">
      <pane xSplit="1" ySplit="2" topLeftCell="B21" activePane="bottomRight" state="frozen"/>
      <selection pane="topRight" activeCell="B1" sqref="B1"/>
      <selection pane="bottomLeft" activeCell="A2" sqref="A2"/>
      <selection pane="bottomRight" activeCell="W45" sqref="W45:W54"/>
    </sheetView>
  </sheetViews>
  <sheetFormatPr defaultRowHeight="14.4" x14ac:dyDescent="0.3"/>
  <cols>
    <col min="1" max="1" width="7.33203125" customWidth="1"/>
    <col min="2" max="2" width="8.33203125" customWidth="1"/>
    <col min="3" max="3" width="13.44140625" customWidth="1"/>
    <col min="4" max="17" width="15.6640625" customWidth="1"/>
    <col min="18" max="21" width="15.6640625" hidden="1" customWidth="1"/>
    <col min="22" max="22" width="15.6640625" customWidth="1"/>
    <col min="23" max="23" width="12.88671875" customWidth="1"/>
    <col min="24" max="31" width="15.6640625" hidden="1" customWidth="1"/>
    <col min="32" max="38" width="15.6640625" customWidth="1"/>
  </cols>
  <sheetData>
    <row r="1" spans="1:69" x14ac:dyDescent="0.3">
      <c r="B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69" ht="28.8" x14ac:dyDescent="0.3">
      <c r="A2" s="1" t="s">
        <v>16</v>
      </c>
      <c r="B2" s="7" t="s">
        <v>17</v>
      </c>
      <c r="C2" s="7" t="s">
        <v>109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7" t="s">
        <v>209</v>
      </c>
      <c r="X2" s="1" t="s">
        <v>38</v>
      </c>
      <c r="Y2" s="1" t="s">
        <v>39</v>
      </c>
      <c r="Z2" s="1" t="s">
        <v>40</v>
      </c>
      <c r="AA2" s="2" t="s">
        <v>41</v>
      </c>
      <c r="AB2" s="2" t="s">
        <v>42</v>
      </c>
      <c r="AC2" s="2" t="s">
        <v>43</v>
      </c>
      <c r="AD2" s="2" t="s">
        <v>44</v>
      </c>
      <c r="AE2" s="2" t="s">
        <v>45</v>
      </c>
      <c r="AF2" s="8" t="s">
        <v>46</v>
      </c>
      <c r="AG2" s="8" t="s">
        <v>47</v>
      </c>
      <c r="AH2" s="8" t="s">
        <v>48</v>
      </c>
      <c r="AI2" s="8" t="s">
        <v>49</v>
      </c>
      <c r="AJ2" s="8" t="s">
        <v>50</v>
      </c>
      <c r="AK2" s="2" t="s">
        <v>51</v>
      </c>
      <c r="AL2" s="2" t="s">
        <v>52</v>
      </c>
    </row>
    <row r="3" spans="1:69" x14ac:dyDescent="0.3">
      <c r="A3" s="5">
        <v>0</v>
      </c>
      <c r="B3" s="23">
        <f>1180-C3</f>
        <v>130</v>
      </c>
      <c r="C3" s="5">
        <f>SUM(D3:J3)</f>
        <v>1050</v>
      </c>
      <c r="D3" s="5">
        <v>350</v>
      </c>
      <c r="E3" s="5">
        <v>0</v>
      </c>
      <c r="F3" s="5">
        <v>150</v>
      </c>
      <c r="G3" s="5">
        <v>150</v>
      </c>
      <c r="H3" s="5">
        <v>100</v>
      </c>
      <c r="I3" s="5">
        <v>0</v>
      </c>
      <c r="J3" s="5">
        <v>300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/>
      <c r="S3" s="5"/>
      <c r="T3" s="5"/>
      <c r="U3" s="5"/>
      <c r="V3" s="5">
        <v>0</v>
      </c>
      <c r="W3" s="78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69" x14ac:dyDescent="0.3">
      <c r="A4">
        <v>1</v>
      </c>
      <c r="B4" s="23">
        <f t="shared" ref="B4:B43" si="0">1180-C4</f>
        <v>225</v>
      </c>
      <c r="C4" s="15">
        <f>SUM(D4:J4)</f>
        <v>955</v>
      </c>
      <c r="D4" s="15">
        <f>D3-K4</f>
        <v>280.7</v>
      </c>
      <c r="E4" s="15">
        <f t="shared" ref="E4:J19" si="1">E3-L4</f>
        <v>0</v>
      </c>
      <c r="F4" s="15">
        <f t="shared" si="1"/>
        <v>150</v>
      </c>
      <c r="G4" s="15">
        <f t="shared" si="1"/>
        <v>124.3</v>
      </c>
      <c r="H4" s="15">
        <f t="shared" si="1"/>
        <v>100</v>
      </c>
      <c r="I4" s="15">
        <f t="shared" si="1"/>
        <v>0</v>
      </c>
      <c r="J4" s="15">
        <f t="shared" si="1"/>
        <v>300</v>
      </c>
      <c r="K4" s="15">
        <v>69.3</v>
      </c>
      <c r="L4" s="15">
        <v>0</v>
      </c>
      <c r="M4" s="15">
        <v>0</v>
      </c>
      <c r="N4" s="15">
        <v>25.7</v>
      </c>
      <c r="O4" s="15">
        <v>0</v>
      </c>
      <c r="P4" s="15">
        <v>0</v>
      </c>
      <c r="Q4" s="15">
        <v>0</v>
      </c>
      <c r="R4" s="15" t="s">
        <v>53</v>
      </c>
      <c r="S4" s="15" t="s">
        <v>54</v>
      </c>
      <c r="T4" s="15">
        <v>57.599999999999987</v>
      </c>
      <c r="U4" s="15">
        <v>38.4</v>
      </c>
      <c r="V4" s="15">
        <f>SUM(K4:Q4)</f>
        <v>95</v>
      </c>
      <c r="W4" s="106">
        <f>Summary!$C$20*K4+Summary!$C$21*L4+Summary!$C$22*M4+Summary!$C$23*N4+Summary!$C$24*O4+Summary!$C$25*P4+Summary!$C$26*Q4</f>
        <v>1592.873</v>
      </c>
      <c r="X4" t="s">
        <v>55</v>
      </c>
      <c r="Y4">
        <v>96</v>
      </c>
      <c r="Z4">
        <v>96</v>
      </c>
      <c r="AF4" t="s">
        <v>132</v>
      </c>
      <c r="AG4" s="5"/>
      <c r="AH4" s="5"/>
      <c r="AI4" s="5"/>
      <c r="AJ4" s="5"/>
    </row>
    <row r="5" spans="1:69" x14ac:dyDescent="0.3">
      <c r="A5">
        <v>2</v>
      </c>
      <c r="B5" s="23">
        <f t="shared" si="0"/>
        <v>320</v>
      </c>
      <c r="C5" s="15">
        <f t="shared" ref="C5:C43" si="2">SUM(D5:J5)</f>
        <v>860</v>
      </c>
      <c r="D5" s="15">
        <f t="shared" ref="D5:J43" si="3">D4-K5</f>
        <v>211.39999999999998</v>
      </c>
      <c r="E5" s="15">
        <f t="shared" si="1"/>
        <v>0</v>
      </c>
      <c r="F5" s="15">
        <f t="shared" si="1"/>
        <v>150</v>
      </c>
      <c r="G5" s="15">
        <f t="shared" si="1"/>
        <v>98.6</v>
      </c>
      <c r="H5" s="15">
        <f t="shared" si="1"/>
        <v>100</v>
      </c>
      <c r="I5" s="15">
        <f t="shared" si="1"/>
        <v>0</v>
      </c>
      <c r="J5" s="15">
        <f t="shared" si="1"/>
        <v>300</v>
      </c>
      <c r="K5" s="15">
        <v>69.3</v>
      </c>
      <c r="L5" s="15">
        <v>0</v>
      </c>
      <c r="M5" s="15">
        <v>0</v>
      </c>
      <c r="N5" s="15">
        <v>25.7</v>
      </c>
      <c r="O5" s="15">
        <v>0</v>
      </c>
      <c r="P5" s="15">
        <v>0</v>
      </c>
      <c r="Q5" s="15">
        <v>0</v>
      </c>
      <c r="R5" s="15" t="s">
        <v>53</v>
      </c>
      <c r="S5" s="15" t="s">
        <v>54</v>
      </c>
      <c r="T5" s="15">
        <v>57.599999999999987</v>
      </c>
      <c r="U5" s="15">
        <v>38.4</v>
      </c>
      <c r="V5" s="15">
        <f t="shared" ref="V5:V43" si="4">SUM(K5:Q5)</f>
        <v>95</v>
      </c>
      <c r="W5" s="106">
        <f>Summary!$C$20*K5+Summary!$C$21*L5+Summary!$C$22*M5+Summary!$C$23*N5+Summary!$C$24*O5+Summary!$C$25*P5+Summary!$C$26*Q5</f>
        <v>1592.873</v>
      </c>
      <c r="X5" t="s">
        <v>55</v>
      </c>
      <c r="Y5">
        <v>96</v>
      </c>
      <c r="Z5">
        <v>96</v>
      </c>
      <c r="AF5" t="s">
        <v>133</v>
      </c>
      <c r="AG5" s="5"/>
      <c r="AH5" s="5"/>
      <c r="AI5" s="5"/>
      <c r="AJ5" s="5"/>
    </row>
    <row r="6" spans="1:69" x14ac:dyDescent="0.3">
      <c r="A6">
        <v>3</v>
      </c>
      <c r="B6" s="23">
        <f t="shared" si="0"/>
        <v>415</v>
      </c>
      <c r="C6" s="15">
        <f t="shared" si="2"/>
        <v>765</v>
      </c>
      <c r="D6" s="15">
        <f t="shared" si="3"/>
        <v>142.09999999999997</v>
      </c>
      <c r="E6" s="15">
        <f t="shared" si="1"/>
        <v>0</v>
      </c>
      <c r="F6" s="15">
        <f t="shared" si="1"/>
        <v>150</v>
      </c>
      <c r="G6" s="15">
        <f t="shared" si="1"/>
        <v>72.899999999999991</v>
      </c>
      <c r="H6" s="15">
        <f t="shared" si="1"/>
        <v>100</v>
      </c>
      <c r="I6" s="15">
        <f t="shared" si="1"/>
        <v>0</v>
      </c>
      <c r="J6" s="15">
        <f t="shared" si="1"/>
        <v>300</v>
      </c>
      <c r="K6" s="15">
        <v>69.3</v>
      </c>
      <c r="L6" s="15">
        <v>0</v>
      </c>
      <c r="M6" s="15">
        <v>0</v>
      </c>
      <c r="N6" s="15">
        <v>25.7</v>
      </c>
      <c r="O6" s="15">
        <v>0</v>
      </c>
      <c r="P6" s="15">
        <v>0</v>
      </c>
      <c r="Q6" s="15">
        <v>0</v>
      </c>
      <c r="R6" s="15" t="s">
        <v>53</v>
      </c>
      <c r="S6" s="15" t="s">
        <v>54</v>
      </c>
      <c r="T6" s="15">
        <v>34.799999999999997</v>
      </c>
      <c r="U6" s="15">
        <v>23.2</v>
      </c>
      <c r="V6" s="15">
        <f t="shared" si="4"/>
        <v>95</v>
      </c>
      <c r="W6" s="106">
        <f>Summary!$C$20*K6+Summary!$C$21*L6+Summary!$C$22*M6+Summary!$C$23*N6+Summary!$C$24*O6+Summary!$C$25*P6+Summary!$C$26*Q6</f>
        <v>1592.873</v>
      </c>
      <c r="X6" t="s">
        <v>55</v>
      </c>
      <c r="Y6">
        <v>58.000000000000007</v>
      </c>
      <c r="Z6">
        <v>96</v>
      </c>
      <c r="AF6" t="s">
        <v>58</v>
      </c>
      <c r="AG6" s="5"/>
      <c r="AH6" s="5"/>
      <c r="AI6" s="5"/>
      <c r="AJ6" s="5"/>
    </row>
    <row r="7" spans="1:69" ht="13.95" customHeight="1" x14ac:dyDescent="0.3">
      <c r="A7">
        <v>4</v>
      </c>
      <c r="B7" s="23">
        <f t="shared" si="0"/>
        <v>510</v>
      </c>
      <c r="C7" s="15">
        <f t="shared" si="2"/>
        <v>670</v>
      </c>
      <c r="D7" s="15">
        <f t="shared" si="3"/>
        <v>72.799999999999969</v>
      </c>
      <c r="E7" s="15">
        <f t="shared" si="1"/>
        <v>0</v>
      </c>
      <c r="F7" s="15">
        <f t="shared" si="1"/>
        <v>150</v>
      </c>
      <c r="G7" s="15">
        <f t="shared" si="1"/>
        <v>47.199999999999989</v>
      </c>
      <c r="H7" s="15">
        <f t="shared" si="1"/>
        <v>100</v>
      </c>
      <c r="I7" s="15">
        <f t="shared" si="1"/>
        <v>0</v>
      </c>
      <c r="J7" s="15">
        <f t="shared" si="1"/>
        <v>300</v>
      </c>
      <c r="K7" s="15">
        <v>69.3</v>
      </c>
      <c r="L7" s="15">
        <v>0</v>
      </c>
      <c r="M7" s="15">
        <v>0</v>
      </c>
      <c r="N7" s="15">
        <v>25.7</v>
      </c>
      <c r="O7" s="15">
        <v>0</v>
      </c>
      <c r="P7" s="15">
        <v>0</v>
      </c>
      <c r="Q7" s="15">
        <v>0</v>
      </c>
      <c r="R7" s="15" t="s">
        <v>59</v>
      </c>
      <c r="S7" s="15" t="s">
        <v>60</v>
      </c>
      <c r="T7" s="15">
        <v>25.65</v>
      </c>
      <c r="U7" s="15">
        <v>69.349999999999994</v>
      </c>
      <c r="V7" s="15">
        <f t="shared" si="4"/>
        <v>95</v>
      </c>
      <c r="W7" s="106">
        <f>Summary!$C$20*K7+Summary!$C$21*L7+Summary!$C$22*M7+Summary!$C$23*N7+Summary!$C$24*O7+Summary!$C$25*P7+Summary!$C$26*Q7</f>
        <v>1592.873</v>
      </c>
      <c r="X7" t="s">
        <v>61</v>
      </c>
      <c r="Y7">
        <v>95</v>
      </c>
      <c r="Z7">
        <v>95</v>
      </c>
      <c r="AF7" t="s">
        <v>58</v>
      </c>
      <c r="AG7" s="5"/>
      <c r="AH7" s="5"/>
      <c r="AI7" s="5"/>
      <c r="AJ7" s="5"/>
    </row>
    <row r="8" spans="1:69" x14ac:dyDescent="0.3">
      <c r="A8">
        <v>5</v>
      </c>
      <c r="B8" s="23">
        <f t="shared" si="0"/>
        <v>605</v>
      </c>
      <c r="C8" s="15">
        <f>SUM(D8:J8)</f>
        <v>575</v>
      </c>
      <c r="D8" s="15">
        <f t="shared" si="3"/>
        <v>3.4999999999999716</v>
      </c>
      <c r="E8" s="15">
        <f t="shared" si="1"/>
        <v>0</v>
      </c>
      <c r="F8" s="15">
        <f t="shared" si="1"/>
        <v>150</v>
      </c>
      <c r="G8" s="15">
        <f t="shared" si="1"/>
        <v>21.499999999999989</v>
      </c>
      <c r="H8" s="15">
        <f t="shared" si="1"/>
        <v>100</v>
      </c>
      <c r="I8" s="15">
        <f t="shared" si="1"/>
        <v>0</v>
      </c>
      <c r="J8" s="15">
        <f t="shared" si="1"/>
        <v>300</v>
      </c>
      <c r="K8" s="15">
        <v>69.3</v>
      </c>
      <c r="L8" s="15">
        <v>0</v>
      </c>
      <c r="M8" s="15">
        <v>0</v>
      </c>
      <c r="N8" s="15">
        <v>25.7</v>
      </c>
      <c r="O8" s="15">
        <v>0</v>
      </c>
      <c r="P8" s="15">
        <v>0</v>
      </c>
      <c r="Q8" s="15">
        <v>0</v>
      </c>
      <c r="R8" s="15" t="s">
        <v>62</v>
      </c>
      <c r="S8" s="15" t="s">
        <v>60</v>
      </c>
      <c r="T8" s="15">
        <v>25.92</v>
      </c>
      <c r="U8" s="15">
        <v>70.08</v>
      </c>
      <c r="V8" s="15">
        <f t="shared" si="4"/>
        <v>95</v>
      </c>
      <c r="W8" s="106">
        <f>Summary!$C$20*K8+Summary!$C$21*L8+Summary!$C$22*M8+Summary!$C$23*N8+Summary!$C$24*O8+Summary!$C$25*P8+Summary!$C$26*Q8</f>
        <v>1592.873</v>
      </c>
      <c r="X8" t="s">
        <v>61</v>
      </c>
      <c r="Y8">
        <v>96</v>
      </c>
      <c r="Z8">
        <v>96</v>
      </c>
      <c r="AF8" t="s">
        <v>63</v>
      </c>
      <c r="AG8" s="5" t="s">
        <v>64</v>
      </c>
      <c r="AH8" s="5"/>
      <c r="AI8" s="5"/>
      <c r="AJ8" s="5"/>
    </row>
    <row r="9" spans="1:69" x14ac:dyDescent="0.3">
      <c r="A9">
        <v>6</v>
      </c>
      <c r="B9" s="23">
        <f t="shared" si="0"/>
        <v>150</v>
      </c>
      <c r="C9" s="15">
        <f t="shared" si="2"/>
        <v>1030</v>
      </c>
      <c r="D9" s="53">
        <f>D8-K9 +400</f>
        <v>403.5</v>
      </c>
      <c r="E9" s="53">
        <f>E8-L9 + 150</f>
        <v>150</v>
      </c>
      <c r="F9" s="15">
        <f t="shared" si="1"/>
        <v>150</v>
      </c>
      <c r="G9" s="15">
        <f t="shared" si="1"/>
        <v>21.499999999999989</v>
      </c>
      <c r="H9" s="15">
        <f t="shared" si="1"/>
        <v>100</v>
      </c>
      <c r="I9" s="15">
        <f t="shared" si="1"/>
        <v>0</v>
      </c>
      <c r="J9" s="15">
        <f t="shared" si="1"/>
        <v>205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95</v>
      </c>
      <c r="R9" s="15" t="s">
        <v>62</v>
      </c>
      <c r="S9" s="15" t="s">
        <v>60</v>
      </c>
      <c r="T9" s="15">
        <v>25.92</v>
      </c>
      <c r="U9" s="15">
        <v>70.08</v>
      </c>
      <c r="V9" s="15">
        <f t="shared" si="4"/>
        <v>95</v>
      </c>
      <c r="W9" s="106">
        <f>Summary!$C$20*K9+Summary!$C$21*L9+Summary!$C$22*M9+Summary!$C$23*N9+Summary!$C$24*O9+Summary!$C$25*P9+Summary!$C$26*Q9</f>
        <v>947.15000000000009</v>
      </c>
      <c r="X9" t="s">
        <v>61</v>
      </c>
      <c r="Y9">
        <v>96</v>
      </c>
      <c r="Z9">
        <v>96</v>
      </c>
      <c r="AF9" t="s">
        <v>63</v>
      </c>
      <c r="AG9" s="5" t="s">
        <v>65</v>
      </c>
      <c r="AH9" s="5"/>
      <c r="AI9" s="5"/>
      <c r="AJ9" s="5"/>
    </row>
    <row r="10" spans="1:69" x14ac:dyDescent="0.3">
      <c r="A10">
        <v>7</v>
      </c>
      <c r="B10" s="23">
        <f t="shared" si="0"/>
        <v>245</v>
      </c>
      <c r="C10" s="15">
        <f t="shared" si="2"/>
        <v>935</v>
      </c>
      <c r="D10" s="53">
        <f t="shared" si="3"/>
        <v>403.5</v>
      </c>
      <c r="E10" s="53">
        <f t="shared" si="1"/>
        <v>150</v>
      </c>
      <c r="F10" s="15">
        <f t="shared" si="1"/>
        <v>150</v>
      </c>
      <c r="G10" s="15">
        <f t="shared" si="1"/>
        <v>21.499999999999989</v>
      </c>
      <c r="H10" s="15">
        <f t="shared" si="1"/>
        <v>100</v>
      </c>
      <c r="I10" s="15">
        <f t="shared" si="1"/>
        <v>0</v>
      </c>
      <c r="J10" s="15">
        <f t="shared" si="1"/>
        <v>110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95</v>
      </c>
      <c r="R10" s="15" t="s">
        <v>62</v>
      </c>
      <c r="S10" s="15" t="s">
        <v>60</v>
      </c>
      <c r="T10" s="15">
        <v>25.92</v>
      </c>
      <c r="U10" s="15">
        <v>70.08</v>
      </c>
      <c r="V10" s="15">
        <f t="shared" si="4"/>
        <v>95</v>
      </c>
      <c r="W10" s="106">
        <f>Summary!$C$20*K10+Summary!$C$21*L10+Summary!$C$22*M10+Summary!$C$23*N10+Summary!$C$24*O10+Summary!$C$25*P10+Summary!$C$26*Q10</f>
        <v>947.15000000000009</v>
      </c>
      <c r="X10" t="s">
        <v>61</v>
      </c>
      <c r="Y10">
        <v>96</v>
      </c>
      <c r="Z10">
        <v>96</v>
      </c>
      <c r="AF10" t="s">
        <v>66</v>
      </c>
      <c r="AG10" s="5" t="s">
        <v>67</v>
      </c>
      <c r="AH10" s="5"/>
      <c r="AI10" s="5"/>
      <c r="AJ10" s="5"/>
    </row>
    <row r="11" spans="1:69" x14ac:dyDescent="0.3">
      <c r="A11">
        <v>8</v>
      </c>
      <c r="B11" s="23">
        <f t="shared" si="0"/>
        <v>340</v>
      </c>
      <c r="C11" s="15">
        <f t="shared" si="2"/>
        <v>840</v>
      </c>
      <c r="D11" s="53">
        <f t="shared" si="3"/>
        <v>403.5</v>
      </c>
      <c r="E11" s="53">
        <f t="shared" si="1"/>
        <v>150</v>
      </c>
      <c r="F11" s="15">
        <f t="shared" si="1"/>
        <v>150</v>
      </c>
      <c r="G11" s="15">
        <f t="shared" si="1"/>
        <v>21.499999999999989</v>
      </c>
      <c r="H11" s="15">
        <f t="shared" si="1"/>
        <v>100</v>
      </c>
      <c r="I11" s="15">
        <f t="shared" si="1"/>
        <v>0</v>
      </c>
      <c r="J11" s="15">
        <f t="shared" si="1"/>
        <v>15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95</v>
      </c>
      <c r="R11" s="15" t="s">
        <v>62</v>
      </c>
      <c r="S11" s="15" t="s">
        <v>60</v>
      </c>
      <c r="T11" s="15">
        <v>25.92</v>
      </c>
      <c r="U11" s="15">
        <v>70.08</v>
      </c>
      <c r="V11" s="15">
        <f t="shared" si="4"/>
        <v>95</v>
      </c>
      <c r="W11" s="106">
        <f>Summary!$C$20*K11+Summary!$C$21*L11+Summary!$C$22*M11+Summary!$C$23*N11+Summary!$C$24*O11+Summary!$C$25*P11+Summary!$C$26*Q11</f>
        <v>947.15000000000009</v>
      </c>
      <c r="X11" t="s">
        <v>61</v>
      </c>
      <c r="Y11">
        <v>96</v>
      </c>
      <c r="Z11">
        <v>96</v>
      </c>
      <c r="AF11" t="s">
        <v>66</v>
      </c>
      <c r="AG11" s="5" t="s">
        <v>58</v>
      </c>
      <c r="AH11" s="5"/>
      <c r="AI11" s="5"/>
      <c r="AJ11" s="5"/>
      <c r="AK11" t="s">
        <v>69</v>
      </c>
    </row>
    <row r="12" spans="1:69" x14ac:dyDescent="0.3">
      <c r="A12">
        <v>9</v>
      </c>
      <c r="B12" s="23">
        <f t="shared" si="0"/>
        <v>435</v>
      </c>
      <c r="C12" s="15">
        <f t="shared" si="2"/>
        <v>745</v>
      </c>
      <c r="D12" s="53">
        <f t="shared" si="3"/>
        <v>403.5</v>
      </c>
      <c r="E12" s="53">
        <f t="shared" si="1"/>
        <v>150</v>
      </c>
      <c r="F12" s="15">
        <f t="shared" si="1"/>
        <v>102</v>
      </c>
      <c r="G12" s="15">
        <f t="shared" si="1"/>
        <v>21.499999999999989</v>
      </c>
      <c r="H12" s="15">
        <f t="shared" si="1"/>
        <v>68</v>
      </c>
      <c r="I12" s="15">
        <f t="shared" si="1"/>
        <v>0</v>
      </c>
      <c r="J12" s="15">
        <f t="shared" si="1"/>
        <v>0</v>
      </c>
      <c r="K12" s="15">
        <v>0</v>
      </c>
      <c r="L12" s="15">
        <v>0</v>
      </c>
      <c r="M12" s="15">
        <f>(95-15)*0.6</f>
        <v>48</v>
      </c>
      <c r="N12" s="15">
        <v>0</v>
      </c>
      <c r="O12" s="15">
        <f>(95-15)*0.4</f>
        <v>32</v>
      </c>
      <c r="P12" s="15">
        <v>0</v>
      </c>
      <c r="Q12" s="15">
        <v>15</v>
      </c>
      <c r="R12" s="15" t="s">
        <v>62</v>
      </c>
      <c r="S12" s="15" t="s">
        <v>60</v>
      </c>
      <c r="T12" s="15">
        <v>25.92</v>
      </c>
      <c r="U12" s="15">
        <v>70.08</v>
      </c>
      <c r="V12" s="15">
        <f>SUM(K12:Q12)</f>
        <v>95</v>
      </c>
      <c r="W12" s="106">
        <f>Summary!$C$20*K12+Summary!$C$21*L12+Summary!$C$22*M12+Summary!$C$23*N12+Summary!$C$24*O12+Summary!$C$25*P12+Summary!$C$26*Q12</f>
        <v>1261.71</v>
      </c>
      <c r="X12" t="s">
        <v>61</v>
      </c>
      <c r="Y12">
        <v>96</v>
      </c>
      <c r="Z12">
        <v>96</v>
      </c>
      <c r="AF12" t="s">
        <v>66</v>
      </c>
      <c r="AG12" s="5" t="s">
        <v>58</v>
      </c>
      <c r="AH12" s="5"/>
      <c r="AI12" s="5"/>
      <c r="AJ12" s="5"/>
      <c r="AK12" s="5" t="s">
        <v>58</v>
      </c>
    </row>
    <row r="13" spans="1:69" s="6" customFormat="1" x14ac:dyDescent="0.3">
      <c r="A13">
        <v>10</v>
      </c>
      <c r="B13" s="23">
        <f t="shared" si="0"/>
        <v>531</v>
      </c>
      <c r="C13" s="15">
        <f t="shared" si="2"/>
        <v>649</v>
      </c>
      <c r="D13" s="60">
        <f t="shared" si="3"/>
        <v>403.5</v>
      </c>
      <c r="E13" s="60">
        <f t="shared" si="1"/>
        <v>150</v>
      </c>
      <c r="F13" s="15">
        <f t="shared" si="1"/>
        <v>44.4</v>
      </c>
      <c r="G13" s="15">
        <f t="shared" si="1"/>
        <v>21.499999999999989</v>
      </c>
      <c r="H13" s="15">
        <f t="shared" si="1"/>
        <v>29.6</v>
      </c>
      <c r="I13" s="15">
        <f t="shared" si="1"/>
        <v>0</v>
      </c>
      <c r="J13" s="15">
        <f t="shared" si="1"/>
        <v>0</v>
      </c>
      <c r="K13" s="15">
        <v>0</v>
      </c>
      <c r="L13" s="15">
        <v>0</v>
      </c>
      <c r="M13" s="15">
        <v>57.6</v>
      </c>
      <c r="N13" s="15">
        <v>0</v>
      </c>
      <c r="O13" s="15">
        <v>38.4</v>
      </c>
      <c r="P13" s="15">
        <v>0</v>
      </c>
      <c r="Q13" s="15">
        <v>0</v>
      </c>
      <c r="R13" s="15" t="s">
        <v>62</v>
      </c>
      <c r="S13" s="15" t="s">
        <v>60</v>
      </c>
      <c r="T13" s="15">
        <v>20.399999999999991</v>
      </c>
      <c r="U13" s="15">
        <v>55.15555555555553</v>
      </c>
      <c r="V13" s="15">
        <f t="shared" si="4"/>
        <v>96</v>
      </c>
      <c r="W13" s="106">
        <f>Summary!$C$20*K13+Summary!$C$21*L13+Summary!$C$22*M13+Summary!$C$23*N13+Summary!$C$24*O13+Summary!$C$25*P13+Summary!$C$26*Q13</f>
        <v>1334.5920000000001</v>
      </c>
      <c r="X13" t="s">
        <v>61</v>
      </c>
      <c r="Y13">
        <v>75.555555555555515</v>
      </c>
      <c r="Z13">
        <v>96</v>
      </c>
      <c r="AA13"/>
      <c r="AB13"/>
      <c r="AC13"/>
      <c r="AD13"/>
      <c r="AE13"/>
      <c r="AF13" t="s">
        <v>68</v>
      </c>
      <c r="AG13" s="5" t="s">
        <v>58</v>
      </c>
      <c r="AH13" s="5" t="s">
        <v>70</v>
      </c>
      <c r="AI13"/>
      <c r="AJ13" s="5"/>
      <c r="AK13" s="5" t="s">
        <v>58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 x14ac:dyDescent="0.3">
      <c r="A14">
        <v>11</v>
      </c>
      <c r="B14" s="23">
        <f t="shared" si="0"/>
        <v>627</v>
      </c>
      <c r="C14" s="15">
        <f t="shared" si="2"/>
        <v>553</v>
      </c>
      <c r="D14" s="15">
        <f t="shared" si="3"/>
        <v>387.44</v>
      </c>
      <c r="E14" s="15">
        <f t="shared" si="1"/>
        <v>144.06</v>
      </c>
      <c r="F14" s="15">
        <f t="shared" si="1"/>
        <v>0</v>
      </c>
      <c r="G14" s="15">
        <f t="shared" si="1"/>
        <v>21.499999999999989</v>
      </c>
      <c r="H14" s="15">
        <f t="shared" si="1"/>
        <v>0</v>
      </c>
      <c r="I14" s="15">
        <f t="shared" si="1"/>
        <v>0</v>
      </c>
      <c r="J14" s="15">
        <f t="shared" si="1"/>
        <v>0</v>
      </c>
      <c r="K14" s="15">
        <f>(96-74)*0.73</f>
        <v>16.059999999999999</v>
      </c>
      <c r="L14" s="15">
        <f>(96-74)*0.27</f>
        <v>5.94</v>
      </c>
      <c r="M14" s="15">
        <v>44.4</v>
      </c>
      <c r="N14" s="15">
        <v>0</v>
      </c>
      <c r="O14" s="15">
        <f>(M14/60)*40</f>
        <v>29.6</v>
      </c>
      <c r="P14" s="15">
        <v>0</v>
      </c>
      <c r="Q14" s="15">
        <v>0</v>
      </c>
      <c r="R14" s="15" t="s">
        <v>59</v>
      </c>
      <c r="S14" s="15" t="s">
        <v>60</v>
      </c>
      <c r="T14" s="15">
        <v>25.65</v>
      </c>
      <c r="U14" s="15">
        <v>69.349999999999994</v>
      </c>
      <c r="V14" s="15">
        <f t="shared" si="4"/>
        <v>96</v>
      </c>
      <c r="W14" s="106">
        <f>Summary!$C$20*K14+Summary!$C$21*L14+Summary!$C$22*M14+Summary!$C$23*N14+Summary!$C$24*O14+Summary!$C$25*P14+Summary!$C$26*Q14</f>
        <v>1393.0107999999998</v>
      </c>
      <c r="X14" t="s">
        <v>61</v>
      </c>
      <c r="Y14">
        <v>95</v>
      </c>
      <c r="Z14">
        <v>95</v>
      </c>
      <c r="AG14" s="5" t="s">
        <v>63</v>
      </c>
      <c r="AH14" s="5" t="s">
        <v>134</v>
      </c>
      <c r="AI14" s="5"/>
      <c r="AJ14" s="5"/>
      <c r="AK14" t="s">
        <v>73</v>
      </c>
    </row>
    <row r="15" spans="1:69" x14ac:dyDescent="0.3">
      <c r="A15">
        <v>12</v>
      </c>
      <c r="B15" s="23">
        <f t="shared" si="0"/>
        <v>153</v>
      </c>
      <c r="C15" s="15">
        <f t="shared" si="2"/>
        <v>1027</v>
      </c>
      <c r="D15" s="15">
        <f t="shared" si="3"/>
        <v>317.44</v>
      </c>
      <c r="E15" s="15">
        <f t="shared" si="1"/>
        <v>118.06</v>
      </c>
      <c r="F15" s="15">
        <f>F14-M15</f>
        <v>0</v>
      </c>
      <c r="G15" s="15">
        <f t="shared" si="1"/>
        <v>21.499999999999989</v>
      </c>
      <c r="H15" s="15">
        <f t="shared" si="1"/>
        <v>0</v>
      </c>
      <c r="I15" s="53">
        <f>I14-P15 + 250</f>
        <v>250</v>
      </c>
      <c r="J15" s="53">
        <f>J14-Q15 + 320</f>
        <v>320</v>
      </c>
      <c r="K15">
        <v>70</v>
      </c>
      <c r="L15">
        <v>26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59</v>
      </c>
      <c r="S15" t="s">
        <v>60</v>
      </c>
      <c r="T15">
        <v>25.65</v>
      </c>
      <c r="U15">
        <v>69.349999999999994</v>
      </c>
      <c r="V15">
        <f t="shared" si="4"/>
        <v>96</v>
      </c>
      <c r="W15" s="106">
        <f>Summary!$C$20*K15+Summary!$C$21*L15+Summary!$C$22*M15+Summary!$C$23*N15+Summary!$C$24*O15+Summary!$C$25*P15+Summary!$C$26*Q15</f>
        <v>1589.72</v>
      </c>
      <c r="X15" t="s">
        <v>61</v>
      </c>
      <c r="Y15">
        <v>95</v>
      </c>
      <c r="Z15">
        <v>95</v>
      </c>
      <c r="AG15" s="5" t="s">
        <v>63</v>
      </c>
      <c r="AH15" s="5" t="s">
        <v>58</v>
      </c>
      <c r="AI15" s="5"/>
      <c r="AK15" t="s">
        <v>63</v>
      </c>
    </row>
    <row r="16" spans="1:69" x14ac:dyDescent="0.3">
      <c r="A16">
        <v>13</v>
      </c>
      <c r="B16" s="23">
        <f t="shared" si="0"/>
        <v>99</v>
      </c>
      <c r="C16" s="15">
        <f t="shared" si="2"/>
        <v>1081</v>
      </c>
      <c r="D16" s="15">
        <f t="shared" si="3"/>
        <v>247.44</v>
      </c>
      <c r="E16" s="15">
        <f t="shared" si="1"/>
        <v>92.06</v>
      </c>
      <c r="F16" s="53">
        <f>F15-M16 + 150</f>
        <v>150</v>
      </c>
      <c r="G16" s="15">
        <f t="shared" si="1"/>
        <v>21.499999999999989</v>
      </c>
      <c r="H16" s="15">
        <f t="shared" si="1"/>
        <v>0</v>
      </c>
      <c r="I16" s="53">
        <f t="shared" si="1"/>
        <v>250</v>
      </c>
      <c r="J16" s="53">
        <f t="shared" si="1"/>
        <v>320</v>
      </c>
      <c r="K16">
        <v>70</v>
      </c>
      <c r="L16">
        <v>26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59</v>
      </c>
      <c r="S16" t="s">
        <v>60</v>
      </c>
      <c r="T16">
        <v>25.65</v>
      </c>
      <c r="U16">
        <v>69.349999999999994</v>
      </c>
      <c r="V16">
        <f t="shared" si="4"/>
        <v>96</v>
      </c>
      <c r="W16" s="106">
        <f>Summary!$C$20*K16+Summary!$C$21*L16+Summary!$C$22*M16+Summary!$C$23*N16+Summary!$C$24*O16+Summary!$C$25*P16+Summary!$C$26*Q16</f>
        <v>1589.72</v>
      </c>
      <c r="X16" t="s">
        <v>61</v>
      </c>
      <c r="Y16">
        <v>95</v>
      </c>
      <c r="Z16">
        <v>95</v>
      </c>
      <c r="AG16" s="5" t="s">
        <v>71</v>
      </c>
      <c r="AH16" s="5" t="s">
        <v>58</v>
      </c>
      <c r="AK16" t="s">
        <v>63</v>
      </c>
    </row>
    <row r="17" spans="1:69" x14ac:dyDescent="0.3">
      <c r="A17">
        <v>14</v>
      </c>
      <c r="B17" s="23">
        <f t="shared" si="0"/>
        <v>195</v>
      </c>
      <c r="C17" s="15">
        <f t="shared" si="2"/>
        <v>985</v>
      </c>
      <c r="D17" s="15">
        <f t="shared" si="3"/>
        <v>177.44</v>
      </c>
      <c r="E17" s="15">
        <f t="shared" si="1"/>
        <v>66.06</v>
      </c>
      <c r="F17" s="53">
        <f t="shared" si="1"/>
        <v>150</v>
      </c>
      <c r="G17" s="15">
        <f t="shared" si="1"/>
        <v>21.499999999999989</v>
      </c>
      <c r="H17" s="15">
        <f t="shared" si="1"/>
        <v>0</v>
      </c>
      <c r="I17" s="53">
        <f t="shared" si="1"/>
        <v>250</v>
      </c>
      <c r="J17" s="53">
        <f t="shared" si="1"/>
        <v>320</v>
      </c>
      <c r="K17">
        <v>70</v>
      </c>
      <c r="L17">
        <v>26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59</v>
      </c>
      <c r="S17" t="s">
        <v>60</v>
      </c>
      <c r="T17">
        <v>24.797260273972611</v>
      </c>
      <c r="U17">
        <v>67.044444444444451</v>
      </c>
      <c r="V17">
        <f t="shared" si="4"/>
        <v>96</v>
      </c>
      <c r="W17" s="106">
        <f>Summary!$C$20*K17+Summary!$C$21*L17+Summary!$C$22*M17+Summary!$C$23*N17+Summary!$C$24*O17+Summary!$C$25*P17+Summary!$C$26*Q17</f>
        <v>1589.72</v>
      </c>
      <c r="X17" t="s">
        <v>61</v>
      </c>
      <c r="Y17">
        <v>91.841704718417063</v>
      </c>
      <c r="Z17">
        <v>95</v>
      </c>
      <c r="AG17" s="5" t="s">
        <v>71</v>
      </c>
      <c r="AH17" s="5" t="s">
        <v>58</v>
      </c>
      <c r="AK17" t="s">
        <v>66</v>
      </c>
    </row>
    <row r="18" spans="1:69" x14ac:dyDescent="0.3">
      <c r="A18">
        <v>15</v>
      </c>
      <c r="B18" s="23">
        <f t="shared" si="0"/>
        <v>291</v>
      </c>
      <c r="C18" s="15">
        <f t="shared" si="2"/>
        <v>889</v>
      </c>
      <c r="D18" s="15">
        <f t="shared" si="3"/>
        <v>107.44</v>
      </c>
      <c r="E18" s="15">
        <f t="shared" si="1"/>
        <v>40.06</v>
      </c>
      <c r="F18" s="53">
        <f t="shared" si="1"/>
        <v>150</v>
      </c>
      <c r="G18" s="15">
        <f t="shared" si="1"/>
        <v>21.499999999999989</v>
      </c>
      <c r="H18" s="15">
        <f t="shared" si="1"/>
        <v>0</v>
      </c>
      <c r="I18" s="53">
        <f t="shared" si="1"/>
        <v>250</v>
      </c>
      <c r="J18" s="53">
        <f t="shared" si="1"/>
        <v>320</v>
      </c>
      <c r="K18" s="15">
        <v>70</v>
      </c>
      <c r="L18" s="15">
        <v>26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 t="s">
        <v>53</v>
      </c>
      <c r="S18" s="15"/>
      <c r="T18" s="15">
        <v>7.1054273576010019E-15</v>
      </c>
      <c r="U18" s="15">
        <v>0</v>
      </c>
      <c r="V18" s="15">
        <f t="shared" si="4"/>
        <v>96</v>
      </c>
      <c r="W18" s="106">
        <f>Summary!$C$20*K18+Summary!$C$21*L18+Summary!$C$22*M18+Summary!$C$23*N18+Summary!$C$24*O18+Summary!$C$25*P18+Summary!$C$26*Q18</f>
        <v>1589.72</v>
      </c>
      <c r="X18" t="s">
        <v>72</v>
      </c>
      <c r="Y18">
        <v>7.1054273576010019E-15</v>
      </c>
      <c r="Z18">
        <v>96</v>
      </c>
      <c r="AG18" s="5" t="s">
        <v>71</v>
      </c>
      <c r="AH18" s="5" t="s">
        <v>73</v>
      </c>
      <c r="AK18" t="s">
        <v>66</v>
      </c>
    </row>
    <row r="19" spans="1:69" s="6" customFormat="1" x14ac:dyDescent="0.3">
      <c r="A19">
        <v>16</v>
      </c>
      <c r="B19" s="23">
        <f t="shared" si="0"/>
        <v>387</v>
      </c>
      <c r="C19" s="15">
        <f t="shared" si="2"/>
        <v>793</v>
      </c>
      <c r="D19" s="15">
        <f t="shared" si="3"/>
        <v>37.44</v>
      </c>
      <c r="E19" s="15">
        <f t="shared" si="1"/>
        <v>14.060000000000002</v>
      </c>
      <c r="F19" s="53">
        <f t="shared" si="1"/>
        <v>150</v>
      </c>
      <c r="G19" s="15">
        <f t="shared" si="1"/>
        <v>21.499999999999989</v>
      </c>
      <c r="H19" s="15">
        <f t="shared" si="1"/>
        <v>0</v>
      </c>
      <c r="I19" s="60">
        <f t="shared" si="1"/>
        <v>250</v>
      </c>
      <c r="J19" s="60">
        <f t="shared" si="1"/>
        <v>320</v>
      </c>
      <c r="K19" s="15">
        <v>70</v>
      </c>
      <c r="L19" s="15">
        <v>26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 t="s">
        <v>59</v>
      </c>
      <c r="S19" s="15"/>
      <c r="T19" s="15">
        <v>95</v>
      </c>
      <c r="U19" s="15">
        <v>0</v>
      </c>
      <c r="V19" s="15">
        <f t="shared" si="4"/>
        <v>96</v>
      </c>
      <c r="W19" s="106">
        <f>Summary!$C$20*K19+Summary!$C$21*L19+Summary!$C$22*M19+Summary!$C$23*N19+Summary!$C$24*O19+Summary!$C$25*P19+Summary!$C$26*Q19</f>
        <v>1589.72</v>
      </c>
      <c r="X19" t="s">
        <v>72</v>
      </c>
      <c r="Y19">
        <v>95</v>
      </c>
      <c r="Z19">
        <v>95</v>
      </c>
      <c r="AA19"/>
      <c r="AB19"/>
      <c r="AC19"/>
      <c r="AD19"/>
      <c r="AE19"/>
      <c r="AF19"/>
      <c r="AG19" s="5" t="s">
        <v>111</v>
      </c>
      <c r="AH19" s="5" t="s">
        <v>73</v>
      </c>
      <c r="AI19"/>
      <c r="AJ19"/>
      <c r="AK19" t="s">
        <v>66</v>
      </c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 x14ac:dyDescent="0.3">
      <c r="A20">
        <v>17</v>
      </c>
      <c r="B20" s="23">
        <f t="shared" si="0"/>
        <v>482.0006712328767</v>
      </c>
      <c r="C20" s="15">
        <f t="shared" si="2"/>
        <v>697.9993287671233</v>
      </c>
      <c r="D20" s="15">
        <f t="shared" si="3"/>
        <v>0</v>
      </c>
      <c r="E20" s="15">
        <f t="shared" si="3"/>
        <v>0.21232876712329052</v>
      </c>
      <c r="F20" s="60">
        <f t="shared" si="3"/>
        <v>150</v>
      </c>
      <c r="G20" s="15">
        <f t="shared" si="3"/>
        <v>21.499999999999989</v>
      </c>
      <c r="H20" s="15">
        <f t="shared" si="3"/>
        <v>0</v>
      </c>
      <c r="I20" s="15">
        <f t="shared" si="3"/>
        <v>206.28700000000001</v>
      </c>
      <c r="J20" s="15">
        <f t="shared" si="3"/>
        <v>320</v>
      </c>
      <c r="K20" s="15">
        <v>37.44</v>
      </c>
      <c r="L20" s="15">
        <f>(37.44/73)*27</f>
        <v>13.847671232876712</v>
      </c>
      <c r="M20" s="15">
        <v>0</v>
      </c>
      <c r="N20" s="15">
        <v>0</v>
      </c>
      <c r="O20" s="15">
        <v>0</v>
      </c>
      <c r="P20" s="15">
        <f>95-51.287</f>
        <v>43.713000000000001</v>
      </c>
      <c r="Q20" s="15">
        <v>0</v>
      </c>
      <c r="R20" s="15" t="s">
        <v>59</v>
      </c>
      <c r="S20" s="15"/>
      <c r="T20" s="15">
        <v>77.60273972602738</v>
      </c>
      <c r="U20" s="15">
        <v>0</v>
      </c>
      <c r="V20" s="15">
        <f t="shared" si="4"/>
        <v>95.000671232876712</v>
      </c>
      <c r="W20" s="106">
        <f>Summary!$C$20*K20+Summary!$C$21*L20+Summary!$C$22*M20+Summary!$C$23*N20+Summary!$C$24*O20+Summary!$C$25*P20+Summary!$C$26*Q20</f>
        <v>1285.4462276712329</v>
      </c>
      <c r="X20" t="s">
        <v>72</v>
      </c>
      <c r="Y20">
        <v>77.60273972602738</v>
      </c>
      <c r="Z20">
        <v>95</v>
      </c>
      <c r="AH20" s="5" t="s">
        <v>63</v>
      </c>
      <c r="AI20" t="s">
        <v>77</v>
      </c>
      <c r="AK20" s="28" t="s">
        <v>76</v>
      </c>
    </row>
    <row r="21" spans="1:69" x14ac:dyDescent="0.3">
      <c r="A21">
        <v>18</v>
      </c>
      <c r="B21" s="23">
        <f t="shared" si="0"/>
        <v>12.000671232876812</v>
      </c>
      <c r="C21" s="15">
        <f>SUM(D21:J21)</f>
        <v>1167.9993287671232</v>
      </c>
      <c r="D21" s="15">
        <f t="shared" si="3"/>
        <v>0</v>
      </c>
      <c r="E21" s="15">
        <f t="shared" si="3"/>
        <v>0.21232876712329052</v>
      </c>
      <c r="F21" s="15">
        <f t="shared" si="3"/>
        <v>150</v>
      </c>
      <c r="G21" s="15">
        <f t="shared" si="3"/>
        <v>21.499999999999989</v>
      </c>
      <c r="H21" s="15">
        <f t="shared" si="3"/>
        <v>0</v>
      </c>
      <c r="I21" s="53">
        <f>I20-P21 + 550</f>
        <v>676.28700000000003</v>
      </c>
      <c r="J21" s="15">
        <f t="shared" si="3"/>
        <v>320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80</v>
      </c>
      <c r="Q21" s="15">
        <v>0</v>
      </c>
      <c r="R21" s="15" t="s">
        <v>75</v>
      </c>
      <c r="S21" s="15"/>
      <c r="T21" s="15">
        <v>95</v>
      </c>
      <c r="U21" s="15">
        <v>0</v>
      </c>
      <c r="V21" s="15">
        <f t="shared" si="4"/>
        <v>80</v>
      </c>
      <c r="W21" s="106">
        <f>Summary!$C$20*K21+Summary!$C$21*L21+Summary!$C$22*M21+Summary!$C$23*N21+Summary!$C$24*O21+Summary!$C$25*P21+Summary!$C$26*Q21</f>
        <v>798.40000000000009</v>
      </c>
      <c r="X21" t="s">
        <v>72</v>
      </c>
      <c r="Y21">
        <v>95</v>
      </c>
      <c r="Z21">
        <v>95</v>
      </c>
      <c r="AH21" s="5" t="s">
        <v>63</v>
      </c>
      <c r="AI21" t="s">
        <v>58</v>
      </c>
    </row>
    <row r="22" spans="1:69" x14ac:dyDescent="0.3">
      <c r="A22">
        <v>19</v>
      </c>
      <c r="B22" s="23">
        <f t="shared" si="0"/>
        <v>92.000671232876812</v>
      </c>
      <c r="C22" s="15">
        <f t="shared" si="2"/>
        <v>1087.9993287671232</v>
      </c>
      <c r="D22" s="15">
        <f t="shared" si="3"/>
        <v>0</v>
      </c>
      <c r="E22" s="15">
        <f t="shared" si="3"/>
        <v>0.21232876712329052</v>
      </c>
      <c r="F22" s="15">
        <f t="shared" si="3"/>
        <v>150</v>
      </c>
      <c r="G22" s="15">
        <f t="shared" si="3"/>
        <v>21.499999999999989</v>
      </c>
      <c r="H22" s="15">
        <f t="shared" si="3"/>
        <v>0</v>
      </c>
      <c r="I22" s="53">
        <f t="shared" si="3"/>
        <v>596.28700000000003</v>
      </c>
      <c r="J22" s="15">
        <f t="shared" si="3"/>
        <v>320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80</v>
      </c>
      <c r="Q22" s="15">
        <v>0</v>
      </c>
      <c r="R22" s="15" t="s">
        <v>53</v>
      </c>
      <c r="S22" s="15"/>
      <c r="T22" s="15">
        <v>96</v>
      </c>
      <c r="U22" s="15">
        <v>0</v>
      </c>
      <c r="V22" s="15">
        <f t="shared" si="4"/>
        <v>80</v>
      </c>
      <c r="W22" s="106">
        <f>Summary!$C$20*K22+Summary!$C$21*L22+Summary!$C$22*M22+Summary!$C$23*N22+Summary!$C$24*O22+Summary!$C$25*P22+Summary!$C$26*Q22</f>
        <v>798.40000000000009</v>
      </c>
      <c r="X22" t="s">
        <v>72</v>
      </c>
      <c r="Y22">
        <v>96</v>
      </c>
      <c r="Z22">
        <v>96</v>
      </c>
      <c r="AH22" s="5" t="s">
        <v>71</v>
      </c>
      <c r="AI22" t="s">
        <v>58</v>
      </c>
      <c r="AJ22" t="s">
        <v>78</v>
      </c>
    </row>
    <row r="23" spans="1:69" s="6" customFormat="1" x14ac:dyDescent="0.3">
      <c r="A23">
        <v>20</v>
      </c>
      <c r="B23" s="23">
        <f t="shared" si="0"/>
        <v>172.0006712328767</v>
      </c>
      <c r="C23" s="15">
        <f t="shared" si="2"/>
        <v>1007.9993287671233</v>
      </c>
      <c r="D23" s="15">
        <f t="shared" si="3"/>
        <v>0</v>
      </c>
      <c r="E23" s="15">
        <f t="shared" si="3"/>
        <v>0.21232876712329052</v>
      </c>
      <c r="F23" s="15">
        <f t="shared" si="3"/>
        <v>150</v>
      </c>
      <c r="G23" s="15">
        <f t="shared" si="3"/>
        <v>21.499999999999989</v>
      </c>
      <c r="H23" s="15">
        <f t="shared" si="3"/>
        <v>0</v>
      </c>
      <c r="I23" s="53">
        <f t="shared" si="3"/>
        <v>516.28700000000003</v>
      </c>
      <c r="J23" s="15">
        <f t="shared" si="3"/>
        <v>320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80</v>
      </c>
      <c r="Q23" s="15">
        <v>0</v>
      </c>
      <c r="R23" s="15" t="s">
        <v>53</v>
      </c>
      <c r="S23" s="15"/>
      <c r="T23" s="15">
        <v>96</v>
      </c>
      <c r="U23" s="15">
        <v>0</v>
      </c>
      <c r="V23" s="15">
        <f t="shared" si="4"/>
        <v>80</v>
      </c>
      <c r="W23" s="106">
        <f>Summary!$C$20*K23+Summary!$C$21*L23+Summary!$C$22*M23+Summary!$C$23*N23+Summary!$C$24*O23+Summary!$C$25*P23+Summary!$C$26*Q23</f>
        <v>798.40000000000009</v>
      </c>
      <c r="X23" t="s">
        <v>72</v>
      </c>
      <c r="Y23">
        <v>96</v>
      </c>
      <c r="Z23">
        <v>96</v>
      </c>
      <c r="AA23"/>
      <c r="AB23"/>
      <c r="AC23"/>
      <c r="AD23"/>
      <c r="AE23"/>
      <c r="AF23"/>
      <c r="AG23"/>
      <c r="AH23" s="5" t="s">
        <v>71</v>
      </c>
      <c r="AI23" t="s">
        <v>58</v>
      </c>
      <c r="AJ23" t="s">
        <v>58</v>
      </c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 x14ac:dyDescent="0.3">
      <c r="A24">
        <v>21</v>
      </c>
      <c r="B24" s="23">
        <f t="shared" si="0"/>
        <v>252.0006712328767</v>
      </c>
      <c r="C24" s="15">
        <f t="shared" si="2"/>
        <v>927.9993287671233</v>
      </c>
      <c r="D24" s="15">
        <f t="shared" si="3"/>
        <v>0</v>
      </c>
      <c r="E24" s="15">
        <f t="shared" si="3"/>
        <v>0.21232876712329052</v>
      </c>
      <c r="F24" s="15">
        <f t="shared" si="3"/>
        <v>150</v>
      </c>
      <c r="G24" s="15">
        <f t="shared" si="3"/>
        <v>21.499999999999989</v>
      </c>
      <c r="H24" s="15">
        <f t="shared" si="3"/>
        <v>0</v>
      </c>
      <c r="I24" s="53">
        <f t="shared" si="3"/>
        <v>516.28700000000003</v>
      </c>
      <c r="J24" s="15">
        <f t="shared" si="3"/>
        <v>240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80</v>
      </c>
      <c r="R24" s="15" t="s">
        <v>53</v>
      </c>
      <c r="S24" s="15"/>
      <c r="T24" s="15">
        <v>8</v>
      </c>
      <c r="U24" s="15">
        <v>0</v>
      </c>
      <c r="V24" s="15">
        <f t="shared" si="4"/>
        <v>80</v>
      </c>
      <c r="W24" s="106">
        <f>Summary!$C$20*K24+Summary!$C$21*L24+Summary!$C$22*M24+Summary!$C$23*N24+Summary!$C$24*O24+Summary!$C$25*P24+Summary!$C$26*Q24</f>
        <v>797.6</v>
      </c>
      <c r="X24" t="s">
        <v>72</v>
      </c>
      <c r="Y24">
        <v>8</v>
      </c>
      <c r="Z24">
        <v>96</v>
      </c>
      <c r="AH24" s="5" t="s">
        <v>71</v>
      </c>
      <c r="AI24" t="s">
        <v>79</v>
      </c>
      <c r="AJ24" t="s">
        <v>58</v>
      </c>
    </row>
    <row r="25" spans="1:69" x14ac:dyDescent="0.3">
      <c r="A25">
        <v>22</v>
      </c>
      <c r="B25" s="23">
        <f t="shared" si="0"/>
        <v>332.0006712328767</v>
      </c>
      <c r="C25" s="15">
        <f>SUM(D25:J25)</f>
        <v>847.9993287671233</v>
      </c>
      <c r="D25" s="15">
        <f t="shared" si="3"/>
        <v>0</v>
      </c>
      <c r="E25" s="15">
        <f t="shared" si="3"/>
        <v>0.21232876712329052</v>
      </c>
      <c r="F25" s="15">
        <f t="shared" si="3"/>
        <v>150</v>
      </c>
      <c r="G25" s="15">
        <f t="shared" si="3"/>
        <v>21.499999999999989</v>
      </c>
      <c r="H25" s="15">
        <f t="shared" si="3"/>
        <v>0</v>
      </c>
      <c r="I25" s="60">
        <f t="shared" si="3"/>
        <v>516.28700000000003</v>
      </c>
      <c r="J25" s="15">
        <f t="shared" si="3"/>
        <v>160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80</v>
      </c>
      <c r="R25" s="15" t="s">
        <v>60</v>
      </c>
      <c r="S25" s="15"/>
      <c r="T25" s="15">
        <v>87</v>
      </c>
      <c r="U25" s="15">
        <v>0</v>
      </c>
      <c r="V25" s="15">
        <f t="shared" si="4"/>
        <v>80</v>
      </c>
      <c r="W25" s="106">
        <f>Summary!$C$20*K25+Summary!$C$21*L25+Summary!$C$22*M25+Summary!$C$23*N25+Summary!$C$24*O25+Summary!$C$25*P25+Summary!$C$26*Q25</f>
        <v>797.6</v>
      </c>
      <c r="X25" t="s">
        <v>72</v>
      </c>
      <c r="Y25">
        <v>87</v>
      </c>
      <c r="Z25">
        <v>87</v>
      </c>
      <c r="AH25" s="5" t="s">
        <v>80</v>
      </c>
      <c r="AI25" t="s">
        <v>58</v>
      </c>
      <c r="AJ25" t="s">
        <v>58</v>
      </c>
    </row>
    <row r="26" spans="1:69" x14ac:dyDescent="0.3">
      <c r="A26">
        <v>23</v>
      </c>
      <c r="B26" s="23">
        <f t="shared" si="0"/>
        <v>412.0006712328767</v>
      </c>
      <c r="C26" s="15">
        <f t="shared" si="2"/>
        <v>767.9993287671233</v>
      </c>
      <c r="D26" s="15">
        <f t="shared" si="3"/>
        <v>0</v>
      </c>
      <c r="E26" s="15">
        <f t="shared" si="3"/>
        <v>0.21232876712329052</v>
      </c>
      <c r="F26" s="15">
        <f t="shared" si="3"/>
        <v>150</v>
      </c>
      <c r="G26" s="15">
        <f t="shared" si="3"/>
        <v>21.499999999999989</v>
      </c>
      <c r="H26" s="15">
        <f t="shared" si="3"/>
        <v>0</v>
      </c>
      <c r="I26" s="15">
        <f t="shared" si="3"/>
        <v>516.28700000000003</v>
      </c>
      <c r="J26" s="15">
        <f t="shared" si="3"/>
        <v>80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80</v>
      </c>
      <c r="R26" s="15" t="s">
        <v>60</v>
      </c>
      <c r="S26" s="15"/>
      <c r="T26" s="15">
        <v>87</v>
      </c>
      <c r="U26" s="15">
        <v>0</v>
      </c>
      <c r="V26" s="15">
        <f t="shared" si="4"/>
        <v>80</v>
      </c>
      <c r="W26" s="106">
        <f>Summary!$C$20*K26+Summary!$C$21*L26+Summary!$C$22*M26+Summary!$C$23*N26+Summary!$C$24*O26+Summary!$C$25*P26+Summary!$C$26*Q26</f>
        <v>797.6</v>
      </c>
      <c r="X26" t="s">
        <v>72</v>
      </c>
      <c r="Y26">
        <v>87</v>
      </c>
      <c r="Z26">
        <v>87</v>
      </c>
      <c r="AI26" t="s">
        <v>58</v>
      </c>
      <c r="AJ26" t="s">
        <v>82</v>
      </c>
    </row>
    <row r="27" spans="1:69" x14ac:dyDescent="0.3">
      <c r="A27">
        <v>24</v>
      </c>
      <c r="B27" s="23">
        <f t="shared" si="0"/>
        <v>492.0006712328767</v>
      </c>
      <c r="C27" s="15">
        <f t="shared" si="2"/>
        <v>687.9993287671233</v>
      </c>
      <c r="D27" s="15">
        <f t="shared" si="3"/>
        <v>0</v>
      </c>
      <c r="E27" s="15">
        <f t="shared" si="3"/>
        <v>0.21232876712329052</v>
      </c>
      <c r="F27" s="15">
        <f t="shared" si="3"/>
        <v>150</v>
      </c>
      <c r="G27" s="15">
        <f t="shared" si="3"/>
        <v>21.499999999999989</v>
      </c>
      <c r="H27" s="15">
        <f t="shared" si="3"/>
        <v>0</v>
      </c>
      <c r="I27" s="15">
        <f t="shared" si="3"/>
        <v>516.28700000000003</v>
      </c>
      <c r="J27" s="15">
        <f t="shared" si="3"/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80</v>
      </c>
      <c r="R27" s="15" t="s">
        <v>60</v>
      </c>
      <c r="S27" s="15"/>
      <c r="T27" s="15">
        <v>87</v>
      </c>
      <c r="U27" s="15">
        <v>0</v>
      </c>
      <c r="V27" s="15">
        <f t="shared" si="4"/>
        <v>80</v>
      </c>
      <c r="W27" s="106">
        <f>Summary!$C$20*K27+Summary!$C$21*L27+Summary!$C$22*M27+Summary!$C$23*N27+Summary!$C$24*O27+Summary!$C$25*P27+Summary!$C$26*Q27</f>
        <v>797.6</v>
      </c>
      <c r="X27" t="s">
        <v>72</v>
      </c>
      <c r="Y27">
        <v>87</v>
      </c>
      <c r="Z27">
        <v>87</v>
      </c>
      <c r="AI27" t="s">
        <v>58</v>
      </c>
      <c r="AJ27" t="s">
        <v>83</v>
      </c>
    </row>
    <row r="28" spans="1:69" x14ac:dyDescent="0.3">
      <c r="A28">
        <v>25</v>
      </c>
      <c r="B28" s="23">
        <f t="shared" si="0"/>
        <v>572.0006712328767</v>
      </c>
      <c r="C28" s="15">
        <f t="shared" si="2"/>
        <v>607.9993287671233</v>
      </c>
      <c r="D28" s="15">
        <f t="shared" si="3"/>
        <v>0</v>
      </c>
      <c r="E28" s="15">
        <f t="shared" si="3"/>
        <v>0.21232876712329052</v>
      </c>
      <c r="F28" s="15">
        <f t="shared" si="3"/>
        <v>150</v>
      </c>
      <c r="G28" s="15">
        <f t="shared" si="3"/>
        <v>21.499999999999989</v>
      </c>
      <c r="H28" s="15">
        <f t="shared" si="3"/>
        <v>0</v>
      </c>
      <c r="I28" s="15">
        <f t="shared" si="3"/>
        <v>436.28700000000003</v>
      </c>
      <c r="J28" s="15">
        <f t="shared" si="3"/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80</v>
      </c>
      <c r="Q28" s="15">
        <v>0</v>
      </c>
      <c r="R28" s="15" t="s">
        <v>60</v>
      </c>
      <c r="S28" s="15"/>
      <c r="T28" s="15">
        <v>87</v>
      </c>
      <c r="U28" s="15">
        <v>0</v>
      </c>
      <c r="V28" s="15">
        <f t="shared" si="4"/>
        <v>80</v>
      </c>
      <c r="W28" s="106">
        <f>Summary!$C$20*K28+Summary!$C$21*L28+Summary!$C$22*M28+Summary!$C$23*N28+Summary!$C$24*O28+Summary!$C$25*P28+Summary!$C$26*Q28</f>
        <v>798.40000000000009</v>
      </c>
      <c r="X28" t="s">
        <v>72</v>
      </c>
      <c r="Y28">
        <v>87</v>
      </c>
      <c r="Z28">
        <v>87</v>
      </c>
      <c r="AI28" t="s">
        <v>63</v>
      </c>
      <c r="AJ28" t="s">
        <v>58</v>
      </c>
    </row>
    <row r="29" spans="1:69" x14ac:dyDescent="0.3">
      <c r="A29">
        <v>26</v>
      </c>
      <c r="B29" s="23">
        <f t="shared" si="0"/>
        <v>12.000671232876812</v>
      </c>
      <c r="C29" s="15">
        <f t="shared" si="2"/>
        <v>1167.9993287671232</v>
      </c>
      <c r="D29" s="53">
        <f>D28-K29 + 360</f>
        <v>360</v>
      </c>
      <c r="E29" s="15">
        <f t="shared" si="3"/>
        <v>0.21232876712329052</v>
      </c>
      <c r="F29" s="15">
        <f t="shared" si="3"/>
        <v>150</v>
      </c>
      <c r="G29" s="15">
        <f>G28-N29</f>
        <v>21.499999999999989</v>
      </c>
      <c r="H29" s="15">
        <f t="shared" si="3"/>
        <v>0</v>
      </c>
      <c r="I29" s="15">
        <f t="shared" si="3"/>
        <v>356.28700000000003</v>
      </c>
      <c r="J29" s="53">
        <f>J28-Q29 + 280</f>
        <v>280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80</v>
      </c>
      <c r="Q29" s="15">
        <v>0</v>
      </c>
      <c r="R29" s="15" t="s">
        <v>60</v>
      </c>
      <c r="S29" s="15"/>
      <c r="T29" s="15">
        <v>12</v>
      </c>
      <c r="U29" s="15">
        <v>0</v>
      </c>
      <c r="V29" s="15">
        <f t="shared" si="4"/>
        <v>80</v>
      </c>
      <c r="W29" s="106">
        <f>Summary!$C$20*K29+Summary!$C$21*L29+Summary!$C$22*M29+Summary!$C$23*N29+Summary!$C$24*O29+Summary!$C$25*P29+Summary!$C$26*Q29</f>
        <v>798.40000000000009</v>
      </c>
      <c r="X29" t="s">
        <v>72</v>
      </c>
      <c r="Y29">
        <v>12</v>
      </c>
      <c r="Z29">
        <v>87</v>
      </c>
      <c r="AI29" t="s">
        <v>63</v>
      </c>
      <c r="AJ29" t="s">
        <v>58</v>
      </c>
    </row>
    <row r="30" spans="1:69" x14ac:dyDescent="0.3">
      <c r="A30">
        <v>27</v>
      </c>
      <c r="B30" s="23">
        <f t="shared" si="0"/>
        <v>92.000671232876812</v>
      </c>
      <c r="C30" s="15">
        <f t="shared" si="2"/>
        <v>1087.9993287671232</v>
      </c>
      <c r="D30" s="53">
        <f t="shared" si="3"/>
        <v>360</v>
      </c>
      <c r="E30" s="15">
        <f t="shared" si="3"/>
        <v>0.21232876712329052</v>
      </c>
      <c r="F30" s="15">
        <f t="shared" si="3"/>
        <v>150</v>
      </c>
      <c r="G30" s="15">
        <f t="shared" si="3"/>
        <v>21.499999999999989</v>
      </c>
      <c r="H30" s="15">
        <f t="shared" si="3"/>
        <v>0</v>
      </c>
      <c r="I30" s="15">
        <f t="shared" si="3"/>
        <v>276.28700000000003</v>
      </c>
      <c r="J30" s="53">
        <f t="shared" si="3"/>
        <v>280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80</v>
      </c>
      <c r="Q30" s="15">
        <v>0</v>
      </c>
      <c r="R30" s="15" t="s">
        <v>54</v>
      </c>
      <c r="S30" s="15"/>
      <c r="T30" s="15">
        <v>95</v>
      </c>
      <c r="U30" s="15">
        <v>0</v>
      </c>
      <c r="V30" s="15">
        <f t="shared" si="4"/>
        <v>80</v>
      </c>
      <c r="W30" s="106">
        <f>Summary!$C$20*K30+Summary!$C$21*L30+Summary!$C$22*M30+Summary!$C$23*N30+Summary!$C$24*O30+Summary!$C$25*P30+Summary!$C$26*Q30</f>
        <v>798.40000000000009</v>
      </c>
      <c r="X30" t="s">
        <v>72</v>
      </c>
      <c r="Y30">
        <v>95</v>
      </c>
      <c r="Z30">
        <v>95</v>
      </c>
      <c r="AI30" t="s">
        <v>71</v>
      </c>
      <c r="AJ30" t="s">
        <v>58</v>
      </c>
    </row>
    <row r="31" spans="1:69" x14ac:dyDescent="0.3">
      <c r="A31">
        <v>28</v>
      </c>
      <c r="B31" s="23">
        <f t="shared" si="0"/>
        <v>187.0006712328767</v>
      </c>
      <c r="C31" s="15">
        <f t="shared" si="2"/>
        <v>992.9993287671233</v>
      </c>
      <c r="D31" s="53">
        <f t="shared" si="3"/>
        <v>360</v>
      </c>
      <c r="E31" s="15">
        <f t="shared" si="3"/>
        <v>0.21232876712329052</v>
      </c>
      <c r="F31" s="15">
        <f t="shared" si="3"/>
        <v>150</v>
      </c>
      <c r="G31" s="15">
        <f t="shared" si="3"/>
        <v>21.499999999999989</v>
      </c>
      <c r="H31" s="15">
        <f t="shared" si="3"/>
        <v>0</v>
      </c>
      <c r="I31" s="15">
        <f t="shared" si="3"/>
        <v>181.28700000000003</v>
      </c>
      <c r="J31" s="53">
        <f t="shared" si="3"/>
        <v>280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95</v>
      </c>
      <c r="Q31" s="15">
        <v>0</v>
      </c>
      <c r="R31" s="15" t="s">
        <v>54</v>
      </c>
      <c r="S31" s="15"/>
      <c r="T31" s="15">
        <v>55</v>
      </c>
      <c r="U31" s="15">
        <v>0</v>
      </c>
      <c r="V31" s="15">
        <f t="shared" si="4"/>
        <v>95</v>
      </c>
      <c r="W31" s="106">
        <f>Summary!$C$20*K31+Summary!$C$21*L31+Summary!$C$22*M31+Summary!$C$23*N31+Summary!$C$24*O31+Summary!$C$25*P31+Summary!$C$26*Q31</f>
        <v>948.1</v>
      </c>
      <c r="X31" t="s">
        <v>72</v>
      </c>
      <c r="Y31">
        <v>55</v>
      </c>
      <c r="Z31">
        <v>95</v>
      </c>
      <c r="AI31" t="s">
        <v>71</v>
      </c>
      <c r="AJ31" t="s">
        <v>63</v>
      </c>
    </row>
    <row r="32" spans="1:69" x14ac:dyDescent="0.3">
      <c r="A32">
        <v>29</v>
      </c>
      <c r="B32" s="23">
        <f t="shared" si="0"/>
        <v>282.0006712328767</v>
      </c>
      <c r="C32" s="15">
        <f t="shared" si="2"/>
        <v>897.9993287671233</v>
      </c>
      <c r="D32" s="53">
        <f t="shared" si="3"/>
        <v>360</v>
      </c>
      <c r="E32" s="15">
        <f t="shared" si="3"/>
        <v>0.21232876712329052</v>
      </c>
      <c r="F32" s="15">
        <f t="shared" si="3"/>
        <v>150</v>
      </c>
      <c r="G32" s="15">
        <f t="shared" si="3"/>
        <v>21.499999999999989</v>
      </c>
      <c r="H32" s="15">
        <f t="shared" si="3"/>
        <v>0</v>
      </c>
      <c r="I32" s="15">
        <f t="shared" si="3"/>
        <v>86.287000000000035</v>
      </c>
      <c r="J32" s="53">
        <f t="shared" si="3"/>
        <v>280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95</v>
      </c>
      <c r="Q32" s="15">
        <v>0</v>
      </c>
      <c r="R32" s="15" t="s">
        <v>75</v>
      </c>
      <c r="S32" s="15"/>
      <c r="T32" s="15">
        <v>95</v>
      </c>
      <c r="U32" s="15">
        <v>0</v>
      </c>
      <c r="V32" s="15">
        <f t="shared" si="4"/>
        <v>95</v>
      </c>
      <c r="W32" s="106">
        <f>Summary!$C$20*K32+Summary!$C$21*L32+Summary!$C$22*M32+Summary!$C$23*N32+Summary!$C$24*O32+Summary!$C$25*P32+Summary!$C$26*Q32</f>
        <v>948.1</v>
      </c>
      <c r="X32" t="s">
        <v>72</v>
      </c>
      <c r="Y32">
        <v>95</v>
      </c>
      <c r="Z32">
        <v>95</v>
      </c>
      <c r="AI32" t="s">
        <v>71</v>
      </c>
      <c r="AJ32" t="s">
        <v>63</v>
      </c>
    </row>
    <row r="33" spans="1:69" s="6" customFormat="1" x14ac:dyDescent="0.3">
      <c r="A33">
        <v>30</v>
      </c>
      <c r="B33" s="23">
        <f t="shared" si="0"/>
        <v>377.0006712328767</v>
      </c>
      <c r="C33" s="15">
        <f t="shared" si="2"/>
        <v>802.9993287671233</v>
      </c>
      <c r="D33" s="60">
        <f t="shared" si="3"/>
        <v>360</v>
      </c>
      <c r="E33" s="15">
        <f t="shared" si="3"/>
        <v>0.21232876712329052</v>
      </c>
      <c r="F33" s="15">
        <f t="shared" si="3"/>
        <v>150</v>
      </c>
      <c r="G33" s="15">
        <f t="shared" si="3"/>
        <v>21.499999999999989</v>
      </c>
      <c r="H33" s="15">
        <f t="shared" si="3"/>
        <v>0</v>
      </c>
      <c r="I33" s="15">
        <f t="shared" si="3"/>
        <v>86.287000000000035</v>
      </c>
      <c r="J33" s="60">
        <f t="shared" si="3"/>
        <v>185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95</v>
      </c>
      <c r="R33" s="15" t="s">
        <v>75</v>
      </c>
      <c r="S33" s="15"/>
      <c r="T33" s="15">
        <v>95</v>
      </c>
      <c r="U33" s="15">
        <v>0</v>
      </c>
      <c r="V33" s="15">
        <f t="shared" si="4"/>
        <v>95</v>
      </c>
      <c r="W33" s="106">
        <f>Summary!$C$20*K33+Summary!$C$21*L33+Summary!$C$22*M33+Summary!$C$23*N33+Summary!$C$24*O33+Summary!$C$25*P33+Summary!$C$26*Q33</f>
        <v>947.15000000000009</v>
      </c>
      <c r="X33" t="s">
        <v>72</v>
      </c>
      <c r="Y33">
        <v>95</v>
      </c>
      <c r="Z33">
        <v>95</v>
      </c>
      <c r="AA33"/>
      <c r="AB33"/>
      <c r="AC33"/>
      <c r="AD33"/>
      <c r="AE33"/>
      <c r="AF33"/>
      <c r="AG33"/>
      <c r="AH33"/>
      <c r="AI33" t="s">
        <v>135</v>
      </c>
      <c r="AJ33" t="s">
        <v>71</v>
      </c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 x14ac:dyDescent="0.3">
      <c r="A34">
        <v>31</v>
      </c>
      <c r="B34" s="23">
        <f t="shared" si="0"/>
        <v>472.0006712328767</v>
      </c>
      <c r="C34" s="15">
        <f t="shared" si="2"/>
        <v>707.9993287671233</v>
      </c>
      <c r="D34" s="15">
        <f t="shared" si="3"/>
        <v>360</v>
      </c>
      <c r="E34" s="15">
        <f t="shared" si="3"/>
        <v>0.21232876712329052</v>
      </c>
      <c r="F34" s="15">
        <f t="shared" si="3"/>
        <v>150</v>
      </c>
      <c r="G34" s="15">
        <f t="shared" si="3"/>
        <v>21.499999999999989</v>
      </c>
      <c r="H34" s="15">
        <f t="shared" si="3"/>
        <v>0</v>
      </c>
      <c r="I34" s="15">
        <f t="shared" si="3"/>
        <v>86.287000000000035</v>
      </c>
      <c r="J34" s="15">
        <f t="shared" si="3"/>
        <v>90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95</v>
      </c>
      <c r="R34" s="15"/>
      <c r="S34" s="15"/>
      <c r="T34" s="15"/>
      <c r="U34" s="15"/>
      <c r="V34" s="15">
        <f t="shared" si="4"/>
        <v>95</v>
      </c>
      <c r="W34" s="106">
        <f>Summary!$C$20*K34+Summary!$C$21*L34+Summary!$C$22*M34+Summary!$C$23*N34+Summary!$C$24*O34+Summary!$C$25*P34+Summary!$C$26*Q34</f>
        <v>947.15000000000009</v>
      </c>
      <c r="AJ34" t="s">
        <v>71</v>
      </c>
    </row>
    <row r="35" spans="1:69" x14ac:dyDescent="0.3">
      <c r="A35">
        <v>32</v>
      </c>
      <c r="B35" s="23">
        <f t="shared" si="0"/>
        <v>568.0006712328767</v>
      </c>
      <c r="C35" s="15">
        <f t="shared" si="2"/>
        <v>611.9993287671233</v>
      </c>
      <c r="D35" s="15">
        <f t="shared" si="3"/>
        <v>290</v>
      </c>
      <c r="E35" s="15">
        <f t="shared" si="3"/>
        <v>0.21232876712329052</v>
      </c>
      <c r="F35" s="15">
        <f t="shared" si="3"/>
        <v>150</v>
      </c>
      <c r="G35" s="15">
        <f t="shared" si="3"/>
        <v>21.499999999999989</v>
      </c>
      <c r="H35" s="15">
        <f t="shared" si="3"/>
        <v>0</v>
      </c>
      <c r="I35" s="15">
        <f t="shared" si="3"/>
        <v>86.287000000000035</v>
      </c>
      <c r="J35" s="15">
        <f t="shared" si="3"/>
        <v>64</v>
      </c>
      <c r="K35" s="15">
        <f>96-26</f>
        <v>70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26</v>
      </c>
      <c r="R35" s="15"/>
      <c r="S35" s="15"/>
      <c r="T35" s="15"/>
      <c r="U35" s="15"/>
      <c r="V35" s="15">
        <f t="shared" si="4"/>
        <v>96</v>
      </c>
      <c r="W35" s="106">
        <f>Summary!$C$20*K35+Summary!$C$21*L35+Summary!$C$22*M35+Summary!$C$23*N35+Summary!$C$24*O35+Summary!$C$25*P35+Summary!$C$26*Q35</f>
        <v>1368.72</v>
      </c>
      <c r="AJ35" t="s">
        <v>71</v>
      </c>
    </row>
    <row r="36" spans="1:69" s="6" customFormat="1" x14ac:dyDescent="0.3">
      <c r="A36">
        <v>33</v>
      </c>
      <c r="B36" s="23">
        <f t="shared" si="0"/>
        <v>214.0006712328767</v>
      </c>
      <c r="C36" s="15">
        <f t="shared" si="2"/>
        <v>965.9993287671233</v>
      </c>
      <c r="D36" s="15">
        <f t="shared" si="3"/>
        <v>220</v>
      </c>
      <c r="E36" s="15">
        <f t="shared" si="3"/>
        <v>0.21232876712329052</v>
      </c>
      <c r="F36" s="15">
        <f t="shared" si="3"/>
        <v>150</v>
      </c>
      <c r="G36" s="53">
        <f>G35-N36 + 200</f>
        <v>195.5</v>
      </c>
      <c r="H36" s="53">
        <f>H35-O36 + 150</f>
        <v>150</v>
      </c>
      <c r="I36" s="53">
        <f>I35-P36 + 100</f>
        <v>186.28700000000003</v>
      </c>
      <c r="J36" s="15">
        <f t="shared" si="3"/>
        <v>64</v>
      </c>
      <c r="K36" s="15">
        <v>70</v>
      </c>
      <c r="L36" s="15">
        <v>0</v>
      </c>
      <c r="M36" s="15">
        <v>0</v>
      </c>
      <c r="N36" s="15">
        <v>26</v>
      </c>
      <c r="O36" s="15">
        <v>0</v>
      </c>
      <c r="P36" s="15">
        <v>0</v>
      </c>
      <c r="Q36" s="15">
        <v>0</v>
      </c>
      <c r="R36" s="15"/>
      <c r="S36" s="15"/>
      <c r="T36" s="15"/>
      <c r="U36" s="15"/>
      <c r="V36" s="15">
        <f t="shared" si="4"/>
        <v>96</v>
      </c>
      <c r="W36" s="106">
        <f>Summary!$C$20*K36+Summary!$C$21*L36+Summary!$C$22*M36+Summary!$C$23*N36+Summary!$C$24*O36+Summary!$C$25*P36+Summary!$C$26*Q36</f>
        <v>1609.74</v>
      </c>
      <c r="X36"/>
      <c r="Y36"/>
      <c r="Z36"/>
      <c r="AA36"/>
      <c r="AB36"/>
      <c r="AC36"/>
      <c r="AD36"/>
      <c r="AE36"/>
      <c r="AF36"/>
      <c r="AG36"/>
      <c r="AH36"/>
      <c r="AI36"/>
      <c r="AJ36" t="s">
        <v>136</v>
      </c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 x14ac:dyDescent="0.3">
      <c r="A37">
        <v>34</v>
      </c>
      <c r="B37" s="23">
        <f t="shared" si="0"/>
        <v>310.0006712328767</v>
      </c>
      <c r="C37" s="15">
        <f t="shared" si="2"/>
        <v>869.9993287671233</v>
      </c>
      <c r="D37" s="15">
        <f t="shared" si="3"/>
        <v>150</v>
      </c>
      <c r="E37" s="15">
        <f t="shared" si="3"/>
        <v>0.21232876712329052</v>
      </c>
      <c r="F37" s="15">
        <f t="shared" si="3"/>
        <v>150</v>
      </c>
      <c r="G37" s="53">
        <f t="shared" si="3"/>
        <v>169.5</v>
      </c>
      <c r="H37" s="53">
        <f t="shared" si="3"/>
        <v>150</v>
      </c>
      <c r="I37" s="53">
        <f t="shared" si="3"/>
        <v>186.28700000000003</v>
      </c>
      <c r="J37" s="15">
        <f t="shared" si="3"/>
        <v>64</v>
      </c>
      <c r="K37" s="15">
        <v>70</v>
      </c>
      <c r="L37" s="15">
        <v>0</v>
      </c>
      <c r="M37" s="15">
        <v>0</v>
      </c>
      <c r="N37" s="15">
        <v>26</v>
      </c>
      <c r="O37" s="15">
        <v>0</v>
      </c>
      <c r="P37" s="15">
        <v>0</v>
      </c>
      <c r="Q37" s="15">
        <v>0</v>
      </c>
      <c r="R37" s="15"/>
      <c r="S37" s="15"/>
      <c r="T37" s="15"/>
      <c r="U37" s="15"/>
      <c r="V37" s="15">
        <f>SUM(K37:Q37)</f>
        <v>96</v>
      </c>
      <c r="W37" s="106">
        <f>Summary!$C$20*K37+Summary!$C$21*L37+Summary!$C$22*M37+Summary!$C$23*N37+Summary!$C$24*O37+Summary!$C$25*P37+Summary!$C$26*Q37</f>
        <v>1609.74</v>
      </c>
    </row>
    <row r="38" spans="1:69" x14ac:dyDescent="0.3">
      <c r="A38">
        <v>35</v>
      </c>
      <c r="B38" s="23">
        <f t="shared" si="0"/>
        <v>406.0006712328767</v>
      </c>
      <c r="C38" s="15">
        <f t="shared" si="2"/>
        <v>773.9993287671233</v>
      </c>
      <c r="D38" s="15">
        <f t="shared" si="3"/>
        <v>80</v>
      </c>
      <c r="E38" s="15">
        <f t="shared" si="3"/>
        <v>0.21232876712329052</v>
      </c>
      <c r="F38" s="15">
        <f t="shared" si="3"/>
        <v>150</v>
      </c>
      <c r="G38" s="53">
        <f t="shared" si="3"/>
        <v>143.5</v>
      </c>
      <c r="H38" s="53">
        <f t="shared" si="3"/>
        <v>150</v>
      </c>
      <c r="I38" s="53">
        <f t="shared" si="3"/>
        <v>186.28700000000003</v>
      </c>
      <c r="J38" s="15">
        <f t="shared" si="3"/>
        <v>64</v>
      </c>
      <c r="K38" s="15">
        <v>70</v>
      </c>
      <c r="L38" s="15">
        <v>0</v>
      </c>
      <c r="M38" s="15">
        <v>0</v>
      </c>
      <c r="N38" s="15">
        <v>26</v>
      </c>
      <c r="O38" s="15">
        <v>0</v>
      </c>
      <c r="P38" s="15">
        <v>0</v>
      </c>
      <c r="Q38" s="15">
        <v>0</v>
      </c>
      <c r="R38" s="15"/>
      <c r="S38" s="15"/>
      <c r="T38" s="15"/>
      <c r="U38" s="15"/>
      <c r="V38" s="15">
        <f t="shared" si="4"/>
        <v>96</v>
      </c>
      <c r="W38" s="106">
        <f>Summary!$C$20*K38+Summary!$C$21*L38+Summary!$C$22*M38+Summary!$C$23*N38+Summary!$C$24*O38+Summary!$C$25*P38+Summary!$C$26*Q38</f>
        <v>1609.74</v>
      </c>
    </row>
    <row r="39" spans="1:69" x14ac:dyDescent="0.3">
      <c r="A39">
        <v>36</v>
      </c>
      <c r="B39" s="23">
        <f t="shared" si="0"/>
        <v>502.0006712328767</v>
      </c>
      <c r="C39" s="15">
        <f t="shared" si="2"/>
        <v>677.9993287671233</v>
      </c>
      <c r="D39" s="15">
        <f t="shared" si="3"/>
        <v>10</v>
      </c>
      <c r="E39" s="15">
        <f t="shared" si="3"/>
        <v>0.21232876712329052</v>
      </c>
      <c r="F39" s="15">
        <f t="shared" si="3"/>
        <v>150</v>
      </c>
      <c r="G39" s="53">
        <f t="shared" si="3"/>
        <v>117.5</v>
      </c>
      <c r="H39" s="53">
        <f t="shared" si="3"/>
        <v>150</v>
      </c>
      <c r="I39" s="53">
        <f t="shared" si="3"/>
        <v>186.28700000000003</v>
      </c>
      <c r="J39" s="15">
        <f t="shared" si="3"/>
        <v>64</v>
      </c>
      <c r="K39" s="15">
        <v>70</v>
      </c>
      <c r="L39" s="15">
        <v>0</v>
      </c>
      <c r="M39" s="15">
        <v>0</v>
      </c>
      <c r="N39" s="15">
        <v>26</v>
      </c>
      <c r="O39" s="15">
        <v>0</v>
      </c>
      <c r="P39" s="15">
        <v>0</v>
      </c>
      <c r="Q39" s="15">
        <v>0</v>
      </c>
      <c r="R39" s="15"/>
      <c r="S39" s="15"/>
      <c r="T39" s="15"/>
      <c r="U39" s="15"/>
      <c r="V39" s="15">
        <f t="shared" si="4"/>
        <v>96</v>
      </c>
      <c r="W39" s="106">
        <f>Summary!$C$20*K39+Summary!$C$21*L39+Summary!$C$22*M39+Summary!$C$23*N39+Summary!$C$24*O39+Summary!$C$25*P39+Summary!$C$26*Q39</f>
        <v>1609.74</v>
      </c>
    </row>
    <row r="40" spans="1:69" x14ac:dyDescent="0.3">
      <c r="A40">
        <v>37</v>
      </c>
      <c r="B40" s="23">
        <f t="shared" si="0"/>
        <v>597.0006712328767</v>
      </c>
      <c r="C40" s="15">
        <f t="shared" si="2"/>
        <v>582.9993287671233</v>
      </c>
      <c r="D40" s="15">
        <f t="shared" si="3"/>
        <v>10</v>
      </c>
      <c r="E40" s="15">
        <f t="shared" si="3"/>
        <v>0.21232876712329052</v>
      </c>
      <c r="F40" s="15">
        <f t="shared" si="3"/>
        <v>150</v>
      </c>
      <c r="G40" s="60">
        <f t="shared" si="3"/>
        <v>117.5</v>
      </c>
      <c r="H40" s="60">
        <f t="shared" si="3"/>
        <v>150</v>
      </c>
      <c r="I40" s="60">
        <f t="shared" si="3"/>
        <v>91.287000000000035</v>
      </c>
      <c r="J40" s="15">
        <f t="shared" si="3"/>
        <v>64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95</v>
      </c>
      <c r="Q40" s="15">
        <v>0</v>
      </c>
      <c r="R40" s="15"/>
      <c r="S40" s="15"/>
      <c r="T40" s="15"/>
      <c r="U40" s="15"/>
      <c r="V40" s="15">
        <f t="shared" si="4"/>
        <v>95</v>
      </c>
      <c r="W40" s="106">
        <f>Summary!$C$20*K40+Summary!$C$21*L40+Summary!$C$22*M40+Summary!$C$23*N40+Summary!$C$24*O40+Summary!$C$25*P40+Summary!$C$26*Q40</f>
        <v>948.1</v>
      </c>
    </row>
    <row r="41" spans="1:69" x14ac:dyDescent="0.3">
      <c r="A41">
        <v>38</v>
      </c>
      <c r="B41" s="23">
        <f t="shared" si="0"/>
        <v>692.0006712328767</v>
      </c>
      <c r="C41" s="15">
        <f t="shared" si="2"/>
        <v>487.9993287671233</v>
      </c>
      <c r="D41" s="15">
        <f t="shared" si="3"/>
        <v>10</v>
      </c>
      <c r="E41" s="15">
        <f t="shared" si="3"/>
        <v>0.21232876712329052</v>
      </c>
      <c r="F41" s="15">
        <f t="shared" si="3"/>
        <v>148</v>
      </c>
      <c r="G41" s="15">
        <f t="shared" si="3"/>
        <v>117.5</v>
      </c>
      <c r="H41" s="15">
        <f t="shared" si="3"/>
        <v>148</v>
      </c>
      <c r="I41" s="15">
        <f t="shared" si="3"/>
        <v>0.28700000000003456</v>
      </c>
      <c r="J41" s="15">
        <f t="shared" si="3"/>
        <v>64</v>
      </c>
      <c r="K41" s="15">
        <v>0</v>
      </c>
      <c r="L41" s="15">
        <v>0</v>
      </c>
      <c r="M41" s="15">
        <v>2</v>
      </c>
      <c r="N41" s="15">
        <v>0</v>
      </c>
      <c r="O41" s="15">
        <v>2</v>
      </c>
      <c r="P41" s="15">
        <v>91</v>
      </c>
      <c r="Q41" s="15">
        <v>0</v>
      </c>
      <c r="R41" s="15"/>
      <c r="S41" s="15"/>
      <c r="T41" s="15"/>
      <c r="U41" s="15"/>
      <c r="V41" s="15">
        <f t="shared" si="4"/>
        <v>95</v>
      </c>
      <c r="W41" s="106">
        <f>Summary!$C$20*K41+Summary!$C$21*L41+Summary!$C$22*M41+Summary!$C$23*N41+Summary!$C$24*O41+Summary!$C$25*P41+Summary!$C$26*Q41</f>
        <v>961.98</v>
      </c>
    </row>
    <row r="42" spans="1:69" x14ac:dyDescent="0.3">
      <c r="A42">
        <v>39</v>
      </c>
      <c r="B42" s="23">
        <f t="shared" si="0"/>
        <v>788.0006712328767</v>
      </c>
      <c r="C42" s="15">
        <f t="shared" si="2"/>
        <v>391.9993287671233</v>
      </c>
      <c r="D42" s="15">
        <f t="shared" si="3"/>
        <v>10</v>
      </c>
      <c r="E42" s="15">
        <f t="shared" si="3"/>
        <v>0.21232876712329052</v>
      </c>
      <c r="F42" s="15">
        <f t="shared" si="3"/>
        <v>90.4</v>
      </c>
      <c r="G42" s="15">
        <f t="shared" si="3"/>
        <v>117.5</v>
      </c>
      <c r="H42" s="15">
        <f t="shared" si="3"/>
        <v>109.6</v>
      </c>
      <c r="I42" s="15">
        <f t="shared" si="3"/>
        <v>0.28700000000003456</v>
      </c>
      <c r="J42" s="15">
        <f t="shared" si="3"/>
        <v>64</v>
      </c>
      <c r="K42" s="15">
        <v>0</v>
      </c>
      <c r="L42" s="15">
        <v>0</v>
      </c>
      <c r="M42" s="15">
        <v>57.6</v>
      </c>
      <c r="N42" s="15">
        <v>0</v>
      </c>
      <c r="O42" s="15">
        <v>38.4</v>
      </c>
      <c r="P42" s="15">
        <v>0</v>
      </c>
      <c r="Q42" s="15">
        <v>0</v>
      </c>
      <c r="R42" s="15"/>
      <c r="S42" s="15"/>
      <c r="T42" s="15"/>
      <c r="U42" s="15"/>
      <c r="V42" s="15">
        <f t="shared" si="4"/>
        <v>96</v>
      </c>
      <c r="W42" s="106">
        <f>Summary!$C$20*K42+Summary!$C$21*L42+Summary!$C$22*M42+Summary!$C$23*N42+Summary!$C$24*O42+Summary!$C$25*P42+Summary!$C$26*Q42</f>
        <v>1334.5920000000001</v>
      </c>
    </row>
    <row r="43" spans="1:69" x14ac:dyDescent="0.3">
      <c r="A43">
        <v>40</v>
      </c>
      <c r="B43" s="23">
        <f t="shared" si="0"/>
        <v>884.0006712328767</v>
      </c>
      <c r="C43" s="15">
        <f t="shared" si="2"/>
        <v>295.9993287671233</v>
      </c>
      <c r="D43" s="15">
        <f t="shared" si="3"/>
        <v>10</v>
      </c>
      <c r="E43" s="15">
        <f t="shared" si="3"/>
        <v>0.21232876712329052</v>
      </c>
      <c r="F43" s="15">
        <f t="shared" si="3"/>
        <v>32.800000000000004</v>
      </c>
      <c r="G43" s="15">
        <f t="shared" si="3"/>
        <v>117.5</v>
      </c>
      <c r="H43" s="15">
        <f t="shared" si="3"/>
        <v>71.199999999999989</v>
      </c>
      <c r="I43" s="15">
        <f t="shared" si="3"/>
        <v>0.28700000000003456</v>
      </c>
      <c r="J43" s="15">
        <f t="shared" si="3"/>
        <v>64</v>
      </c>
      <c r="K43" s="15">
        <v>0</v>
      </c>
      <c r="L43" s="15">
        <v>0</v>
      </c>
      <c r="M43" s="15">
        <v>57.6</v>
      </c>
      <c r="N43" s="15">
        <v>0</v>
      </c>
      <c r="O43" s="15">
        <v>38.4</v>
      </c>
      <c r="P43" s="15">
        <v>0</v>
      </c>
      <c r="Q43" s="15">
        <v>0</v>
      </c>
      <c r="R43" s="15"/>
      <c r="S43" s="15"/>
      <c r="T43" s="15"/>
      <c r="U43" s="15"/>
      <c r="V43" s="15">
        <f t="shared" si="4"/>
        <v>96</v>
      </c>
      <c r="W43" s="106">
        <f>Summary!$C$20*K43+Summary!$C$21*L43+Summary!$C$22*M43+Summary!$C$23*N43+Summary!$C$24*O43+Summary!$C$25*P43+Summary!$C$26*Q43</f>
        <v>1334.5920000000001</v>
      </c>
    </row>
    <row r="44" spans="1:69" x14ac:dyDescent="0.3">
      <c r="B44" s="23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09">
        <f>SUM(W4:W43)</f>
        <v>48187.418027671229</v>
      </c>
    </row>
    <row r="45" spans="1:69" x14ac:dyDescent="0.3">
      <c r="Q45" t="s">
        <v>86</v>
      </c>
      <c r="V45" s="113">
        <f>AVERAGE(V4:V33)</f>
        <v>90.233355707762556</v>
      </c>
      <c r="W45" t="s">
        <v>87</v>
      </c>
    </row>
    <row r="46" spans="1:69" x14ac:dyDescent="0.3">
      <c r="Q46" t="s">
        <v>88</v>
      </c>
      <c r="V46" s="113">
        <f>AVERAGE(V4:V43)</f>
        <v>91.600016780821917</v>
      </c>
      <c r="W46" t="s">
        <v>87</v>
      </c>
    </row>
    <row r="47" spans="1:69" x14ac:dyDescent="0.3">
      <c r="W47" s="28"/>
    </row>
    <row r="48" spans="1:69" x14ac:dyDescent="0.3">
      <c r="Q48" t="s">
        <v>89</v>
      </c>
      <c r="V48" s="117">
        <f>SUM(V4:V43)</f>
        <v>3664.0006712328768</v>
      </c>
      <c r="W48" t="s">
        <v>90</v>
      </c>
    </row>
    <row r="49" spans="17:32" x14ac:dyDescent="0.3">
      <c r="Q49" t="s">
        <v>91</v>
      </c>
      <c r="V49">
        <f>C3</f>
        <v>1050</v>
      </c>
      <c r="W49" t="s">
        <v>90</v>
      </c>
    </row>
    <row r="50" spans="17:32" x14ac:dyDescent="0.3">
      <c r="Q50" t="s">
        <v>92</v>
      </c>
      <c r="V50">
        <v>2910</v>
      </c>
      <c r="W50" t="s">
        <v>90</v>
      </c>
    </row>
    <row r="51" spans="17:32" x14ac:dyDescent="0.3">
      <c r="Q51" t="s">
        <v>93</v>
      </c>
      <c r="V51" s="15">
        <f>C45</f>
        <v>0</v>
      </c>
      <c r="W51" t="s">
        <v>90</v>
      </c>
      <c r="AF51">
        <f>V49+V50</f>
        <v>3960</v>
      </c>
    </row>
    <row r="52" spans="17:32" x14ac:dyDescent="0.3">
      <c r="AF52">
        <f>AF51-V48</f>
        <v>295.99932876712319</v>
      </c>
    </row>
    <row r="54" spans="17:32" x14ac:dyDescent="0.3">
      <c r="Q54" t="s">
        <v>94</v>
      </c>
      <c r="V54" s="27">
        <v>3</v>
      </c>
      <c r="W54" t="s">
        <v>95</v>
      </c>
    </row>
    <row r="56" spans="17:32" x14ac:dyDescent="0.3">
      <c r="W56" s="15"/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BA06-FC94-486C-A02C-37555AF3E958}">
  <dimension ref="A1:AO56"/>
  <sheetViews>
    <sheetView zoomScale="85" zoomScaleNormal="85" workbookViewId="0">
      <pane xSplit="1" ySplit="2" topLeftCell="B26" activePane="bottomRight" state="frozen"/>
      <selection pane="topRight" activeCell="B1" sqref="B1"/>
      <selection pane="bottomLeft" activeCell="A2" sqref="A2"/>
      <selection pane="bottomRight" activeCell="W45" sqref="W45:W54"/>
    </sheetView>
  </sheetViews>
  <sheetFormatPr defaultRowHeight="14.4" x14ac:dyDescent="0.3"/>
  <cols>
    <col min="1" max="1" width="7.33203125" customWidth="1"/>
    <col min="2" max="17" width="15.6640625" customWidth="1"/>
    <col min="18" max="21" width="15.6640625" hidden="1" customWidth="1"/>
    <col min="22" max="22" width="15.6640625" customWidth="1"/>
    <col min="23" max="23" width="12.88671875" customWidth="1"/>
    <col min="24" max="31" width="15.6640625" hidden="1" customWidth="1"/>
    <col min="32" max="33" width="15.6640625" customWidth="1"/>
    <col min="34" max="34" width="27.33203125" customWidth="1"/>
    <col min="35" max="36" width="32.109375" customWidth="1"/>
    <col min="37" max="37" width="20" customWidth="1"/>
  </cols>
  <sheetData>
    <row r="1" spans="1:38" x14ac:dyDescent="0.3">
      <c r="B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38" ht="28.8" x14ac:dyDescent="0.3">
      <c r="A2" s="1" t="s">
        <v>16</v>
      </c>
      <c r="B2" s="7" t="s">
        <v>17</v>
      </c>
      <c r="C2" s="7" t="s">
        <v>109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7" t="s">
        <v>209</v>
      </c>
      <c r="X2" s="1" t="s">
        <v>38</v>
      </c>
      <c r="Y2" s="1" t="s">
        <v>39</v>
      </c>
      <c r="Z2" s="1" t="s">
        <v>40</v>
      </c>
      <c r="AA2" s="2" t="s">
        <v>41</v>
      </c>
      <c r="AB2" s="2" t="s">
        <v>42</v>
      </c>
      <c r="AC2" s="2" t="s">
        <v>43</v>
      </c>
      <c r="AD2" s="2" t="s">
        <v>44</v>
      </c>
      <c r="AE2" s="2" t="s">
        <v>45</v>
      </c>
      <c r="AF2" s="8" t="s">
        <v>46</v>
      </c>
      <c r="AG2" s="8" t="s">
        <v>47</v>
      </c>
      <c r="AH2" s="8" t="s">
        <v>48</v>
      </c>
      <c r="AI2" s="8" t="s">
        <v>49</v>
      </c>
      <c r="AJ2" s="8" t="s">
        <v>50</v>
      </c>
      <c r="AK2" s="2" t="s">
        <v>51</v>
      </c>
      <c r="AL2" s="2" t="s">
        <v>52</v>
      </c>
    </row>
    <row r="3" spans="1:38" x14ac:dyDescent="0.3">
      <c r="A3" s="5">
        <v>0</v>
      </c>
      <c r="B3" s="23">
        <f>1180-C3</f>
        <v>130</v>
      </c>
      <c r="C3" s="5">
        <f>SUM(D3:J3)</f>
        <v>1050</v>
      </c>
      <c r="D3" s="5">
        <v>350</v>
      </c>
      <c r="E3" s="5">
        <v>0</v>
      </c>
      <c r="F3" s="5">
        <v>150</v>
      </c>
      <c r="G3" s="5">
        <v>150</v>
      </c>
      <c r="H3" s="5">
        <v>100</v>
      </c>
      <c r="I3" s="5">
        <v>0</v>
      </c>
      <c r="J3" s="5">
        <v>300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/>
      <c r="S3" s="5"/>
      <c r="T3" s="5"/>
      <c r="U3" s="5"/>
      <c r="V3" s="5">
        <v>0</v>
      </c>
      <c r="W3" s="78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8" x14ac:dyDescent="0.3">
      <c r="A4">
        <v>1</v>
      </c>
      <c r="B4" s="23">
        <f t="shared" ref="B4:B43" si="0">1180-C4</f>
        <v>205.25</v>
      </c>
      <c r="C4" s="15">
        <f>SUM(D4:J4)</f>
        <v>974.75</v>
      </c>
      <c r="D4" s="15">
        <f>D3-K4</f>
        <v>295</v>
      </c>
      <c r="E4" s="15">
        <f t="shared" ref="E4:J19" si="1">E3-L4</f>
        <v>0</v>
      </c>
      <c r="F4" s="15">
        <f t="shared" si="1"/>
        <v>150</v>
      </c>
      <c r="G4" s="15">
        <f t="shared" si="1"/>
        <v>129.75</v>
      </c>
      <c r="H4" s="15">
        <f t="shared" si="1"/>
        <v>100</v>
      </c>
      <c r="I4" s="15">
        <f t="shared" si="1"/>
        <v>0</v>
      </c>
      <c r="J4" s="15">
        <f t="shared" si="1"/>
        <v>300</v>
      </c>
      <c r="K4" s="15">
        <v>55</v>
      </c>
      <c r="L4" s="15">
        <v>0</v>
      </c>
      <c r="M4" s="15">
        <v>0</v>
      </c>
      <c r="N4" s="15">
        <f>0.27*75</f>
        <v>20.25</v>
      </c>
      <c r="O4" s="15">
        <v>0</v>
      </c>
      <c r="P4" s="15">
        <v>0</v>
      </c>
      <c r="Q4" s="15">
        <v>0</v>
      </c>
      <c r="R4" s="15" t="s">
        <v>53</v>
      </c>
      <c r="S4" s="15" t="s">
        <v>54</v>
      </c>
      <c r="T4" s="15">
        <v>57.599999999999987</v>
      </c>
      <c r="U4" s="15">
        <v>38.4</v>
      </c>
      <c r="V4" s="15">
        <f>SUM(K4:Q4)</f>
        <v>75.25</v>
      </c>
      <c r="W4" s="106">
        <f>Summary!$C$20*K4+Summary!$C$21*L4+Summary!$C$22*M4+Summary!$C$23*N4+Summary!$C$24*O4+Summary!$C$25*P4+Summary!$C$26*Q4</f>
        <v>1261.3599999999999</v>
      </c>
      <c r="X4" t="s">
        <v>55</v>
      </c>
      <c r="Y4">
        <v>96</v>
      </c>
      <c r="Z4">
        <v>96</v>
      </c>
      <c r="AF4" s="26" t="s">
        <v>133</v>
      </c>
      <c r="AG4" s="5"/>
      <c r="AH4" s="5"/>
      <c r="AI4" s="5"/>
      <c r="AJ4" s="5"/>
    </row>
    <row r="5" spans="1:38" x14ac:dyDescent="0.3">
      <c r="A5">
        <v>2</v>
      </c>
      <c r="B5" s="23">
        <f t="shared" si="0"/>
        <v>280.25</v>
      </c>
      <c r="C5" s="15">
        <f t="shared" ref="C5:C43" si="2">SUM(D5:J5)</f>
        <v>899.75</v>
      </c>
      <c r="D5" s="15">
        <f t="shared" ref="D5:J43" si="3">D4-K5</f>
        <v>240</v>
      </c>
      <c r="E5" s="15">
        <f t="shared" si="1"/>
        <v>0</v>
      </c>
      <c r="F5" s="15">
        <f t="shared" si="1"/>
        <v>150</v>
      </c>
      <c r="G5" s="15">
        <f t="shared" si="1"/>
        <v>109.75</v>
      </c>
      <c r="H5" s="15">
        <f t="shared" si="1"/>
        <v>100</v>
      </c>
      <c r="I5" s="15">
        <f t="shared" si="1"/>
        <v>0</v>
      </c>
      <c r="J5" s="15">
        <f t="shared" si="1"/>
        <v>300</v>
      </c>
      <c r="K5" s="15">
        <v>55</v>
      </c>
      <c r="L5" s="15">
        <v>0</v>
      </c>
      <c r="M5" s="15">
        <v>0</v>
      </c>
      <c r="N5" s="15">
        <v>20</v>
      </c>
      <c r="O5" s="15">
        <v>0</v>
      </c>
      <c r="P5" s="15">
        <v>0</v>
      </c>
      <c r="Q5" s="15">
        <v>0</v>
      </c>
      <c r="R5" s="15" t="s">
        <v>53</v>
      </c>
      <c r="S5" s="15" t="s">
        <v>54</v>
      </c>
      <c r="T5" s="15">
        <v>57.599999999999987</v>
      </c>
      <c r="U5" s="15">
        <v>38.4</v>
      </c>
      <c r="V5" s="15">
        <f t="shared" ref="V5:V43" si="4">SUM(K5:Q5)</f>
        <v>75</v>
      </c>
      <c r="W5" s="106">
        <f>Summary!$C$20*K5+Summary!$C$21*L5+Summary!$C$22*M5+Summary!$C$23*N5+Summary!$C$24*O5+Summary!$C$25*P5+Summary!$C$26*Q5</f>
        <v>1256.55</v>
      </c>
      <c r="X5" t="s">
        <v>55</v>
      </c>
      <c r="Y5">
        <v>96</v>
      </c>
      <c r="Z5">
        <v>96</v>
      </c>
      <c r="AF5" s="26" t="s">
        <v>58</v>
      </c>
      <c r="AG5" s="5"/>
      <c r="AH5" s="5"/>
      <c r="AI5" s="5"/>
      <c r="AJ5" s="5"/>
    </row>
    <row r="6" spans="1:38" x14ac:dyDescent="0.3">
      <c r="A6">
        <v>3</v>
      </c>
      <c r="B6" s="23">
        <f t="shared" si="0"/>
        <v>355.25</v>
      </c>
      <c r="C6" s="15">
        <f t="shared" si="2"/>
        <v>824.75</v>
      </c>
      <c r="D6" s="15">
        <f t="shared" si="3"/>
        <v>185</v>
      </c>
      <c r="E6" s="15">
        <f t="shared" si="1"/>
        <v>0</v>
      </c>
      <c r="F6" s="15">
        <f t="shared" si="1"/>
        <v>150</v>
      </c>
      <c r="G6" s="15">
        <f t="shared" si="1"/>
        <v>89.75</v>
      </c>
      <c r="H6" s="15">
        <f t="shared" si="1"/>
        <v>100</v>
      </c>
      <c r="I6" s="15">
        <f t="shared" si="1"/>
        <v>0</v>
      </c>
      <c r="J6" s="15">
        <f t="shared" si="1"/>
        <v>300</v>
      </c>
      <c r="K6" s="15">
        <v>55</v>
      </c>
      <c r="L6" s="15">
        <v>0</v>
      </c>
      <c r="M6" s="15">
        <v>0</v>
      </c>
      <c r="N6" s="15">
        <v>20</v>
      </c>
      <c r="O6" s="15">
        <v>0</v>
      </c>
      <c r="P6" s="15">
        <v>0</v>
      </c>
      <c r="Q6" s="15">
        <v>0</v>
      </c>
      <c r="R6" s="15" t="s">
        <v>53</v>
      </c>
      <c r="S6" s="15" t="s">
        <v>54</v>
      </c>
      <c r="T6" s="15">
        <v>34.799999999999997</v>
      </c>
      <c r="U6" s="15">
        <v>23.2</v>
      </c>
      <c r="V6" s="15">
        <f t="shared" si="4"/>
        <v>75</v>
      </c>
      <c r="W6" s="106">
        <f>Summary!$C$20*K6+Summary!$C$21*L6+Summary!$C$22*M6+Summary!$C$23*N6+Summary!$C$24*O6+Summary!$C$25*P6+Summary!$C$26*Q6</f>
        <v>1256.55</v>
      </c>
      <c r="X6" t="s">
        <v>55</v>
      </c>
      <c r="Y6">
        <v>58.000000000000007</v>
      </c>
      <c r="Z6">
        <v>96</v>
      </c>
      <c r="AF6" s="26" t="s">
        <v>58</v>
      </c>
      <c r="AG6" s="5"/>
      <c r="AH6" s="5"/>
      <c r="AI6" s="5"/>
      <c r="AJ6" s="5"/>
    </row>
    <row r="7" spans="1:38" x14ac:dyDescent="0.3">
      <c r="A7">
        <v>4</v>
      </c>
      <c r="B7" s="23">
        <f t="shared" si="0"/>
        <v>438.25</v>
      </c>
      <c r="C7" s="15">
        <f t="shared" si="2"/>
        <v>741.75</v>
      </c>
      <c r="D7" s="15">
        <f t="shared" si="3"/>
        <v>124</v>
      </c>
      <c r="E7" s="15">
        <f t="shared" si="1"/>
        <v>0</v>
      </c>
      <c r="F7" s="15">
        <f t="shared" si="1"/>
        <v>150</v>
      </c>
      <c r="G7" s="15">
        <f t="shared" si="1"/>
        <v>67.75</v>
      </c>
      <c r="H7" s="15">
        <f t="shared" si="1"/>
        <v>100</v>
      </c>
      <c r="I7" s="15">
        <f t="shared" si="1"/>
        <v>0</v>
      </c>
      <c r="J7" s="15">
        <f t="shared" si="1"/>
        <v>300</v>
      </c>
      <c r="K7" s="15">
        <v>61</v>
      </c>
      <c r="L7" s="15">
        <v>0</v>
      </c>
      <c r="M7" s="15">
        <v>0</v>
      </c>
      <c r="N7" s="15">
        <v>22</v>
      </c>
      <c r="O7" s="15">
        <v>0</v>
      </c>
      <c r="P7" s="15">
        <v>0</v>
      </c>
      <c r="Q7" s="15">
        <v>0</v>
      </c>
      <c r="R7" s="15" t="s">
        <v>59</v>
      </c>
      <c r="S7" s="15" t="s">
        <v>60</v>
      </c>
      <c r="T7" s="15">
        <v>25.65</v>
      </c>
      <c r="U7" s="15">
        <v>69.349999999999994</v>
      </c>
      <c r="V7" s="15">
        <f t="shared" si="4"/>
        <v>83</v>
      </c>
      <c r="W7" s="106">
        <f>Summary!$C$20*K7+Summary!$C$21*L7+Summary!$C$22*M7+Summary!$C$23*N7+Summary!$C$24*O7+Summary!$C$25*P7+Summary!$C$26*Q7</f>
        <v>1390.13</v>
      </c>
      <c r="X7" t="s">
        <v>61</v>
      </c>
      <c r="Y7">
        <v>95</v>
      </c>
      <c r="Z7">
        <v>95</v>
      </c>
      <c r="AF7" s="26" t="s">
        <v>58</v>
      </c>
      <c r="AG7" s="5"/>
      <c r="AH7" s="5"/>
      <c r="AI7" s="5"/>
      <c r="AJ7" s="5"/>
    </row>
    <row r="8" spans="1:38" x14ac:dyDescent="0.3">
      <c r="A8">
        <v>5</v>
      </c>
      <c r="B8" s="23">
        <f t="shared" si="0"/>
        <v>523.25</v>
      </c>
      <c r="C8" s="15">
        <f>SUM(D8:J8)</f>
        <v>656.75</v>
      </c>
      <c r="D8" s="15">
        <f t="shared" si="3"/>
        <v>62</v>
      </c>
      <c r="E8" s="15">
        <f t="shared" si="1"/>
        <v>0</v>
      </c>
      <c r="F8" s="15">
        <f t="shared" si="1"/>
        <v>150</v>
      </c>
      <c r="G8" s="15">
        <f t="shared" si="1"/>
        <v>44.75</v>
      </c>
      <c r="H8" s="15">
        <f t="shared" si="1"/>
        <v>100</v>
      </c>
      <c r="I8" s="15">
        <f t="shared" si="1"/>
        <v>0</v>
      </c>
      <c r="J8" s="15">
        <f t="shared" si="1"/>
        <v>300</v>
      </c>
      <c r="K8" s="15">
        <v>62</v>
      </c>
      <c r="L8" s="15">
        <v>0</v>
      </c>
      <c r="M8" s="15">
        <v>0</v>
      </c>
      <c r="N8" s="15">
        <v>23</v>
      </c>
      <c r="O8" s="15">
        <v>0</v>
      </c>
      <c r="P8" s="15">
        <v>0</v>
      </c>
      <c r="Q8" s="15">
        <v>0</v>
      </c>
      <c r="R8" s="15" t="s">
        <v>62</v>
      </c>
      <c r="S8" s="15" t="s">
        <v>60</v>
      </c>
      <c r="T8" s="15">
        <v>25.92</v>
      </c>
      <c r="U8" s="15">
        <v>70.08</v>
      </c>
      <c r="V8" s="15">
        <f t="shared" si="4"/>
        <v>85</v>
      </c>
      <c r="W8" s="106">
        <f>Summary!$C$20*K8+Summary!$C$21*L8+Summary!$C$22*M8+Summary!$C$23*N8+Summary!$C$24*O8+Summary!$C$25*P8+Summary!$C$26*Q8</f>
        <v>1425.2199999999998</v>
      </c>
      <c r="X8" t="s">
        <v>61</v>
      </c>
      <c r="Y8">
        <v>96</v>
      </c>
      <c r="Z8">
        <v>96</v>
      </c>
      <c r="AF8" s="26" t="s">
        <v>67</v>
      </c>
      <c r="AG8" s="5" t="s">
        <v>64</v>
      </c>
      <c r="AH8" s="5"/>
      <c r="AI8" s="5"/>
      <c r="AJ8" s="5"/>
    </row>
    <row r="9" spans="1:38" x14ac:dyDescent="0.3">
      <c r="A9">
        <v>6</v>
      </c>
      <c r="B9" s="23">
        <f t="shared" si="0"/>
        <v>608.25</v>
      </c>
      <c r="C9" s="15">
        <f t="shared" si="2"/>
        <v>571.75</v>
      </c>
      <c r="D9" s="15">
        <f t="shared" si="3"/>
        <v>0</v>
      </c>
      <c r="E9" s="15">
        <f t="shared" si="1"/>
        <v>0</v>
      </c>
      <c r="F9" s="15">
        <f t="shared" si="1"/>
        <v>150</v>
      </c>
      <c r="G9" s="15">
        <f t="shared" si="1"/>
        <v>21.75</v>
      </c>
      <c r="H9" s="15">
        <f t="shared" si="1"/>
        <v>100</v>
      </c>
      <c r="I9" s="15">
        <f t="shared" si="1"/>
        <v>0</v>
      </c>
      <c r="J9" s="15">
        <f t="shared" si="1"/>
        <v>300</v>
      </c>
      <c r="K9" s="15">
        <v>62</v>
      </c>
      <c r="L9" s="15">
        <v>0</v>
      </c>
      <c r="M9" s="15">
        <v>0</v>
      </c>
      <c r="N9" s="15">
        <v>23</v>
      </c>
      <c r="O9" s="15">
        <v>0</v>
      </c>
      <c r="P9" s="15">
        <v>0</v>
      </c>
      <c r="Q9" s="15">
        <v>0</v>
      </c>
      <c r="R9" s="15" t="s">
        <v>62</v>
      </c>
      <c r="S9" s="15" t="s">
        <v>60</v>
      </c>
      <c r="T9" s="15">
        <v>25.92</v>
      </c>
      <c r="U9" s="15">
        <v>70.08</v>
      </c>
      <c r="V9" s="15">
        <f t="shared" si="4"/>
        <v>85</v>
      </c>
      <c r="W9" s="106">
        <f>Summary!$C$20*K9+Summary!$C$21*L9+Summary!$C$22*M9+Summary!$C$23*N9+Summary!$C$24*O9+Summary!$C$25*P9+Summary!$C$26*Q9</f>
        <v>1425.2199999999998</v>
      </c>
      <c r="X9" t="s">
        <v>61</v>
      </c>
      <c r="Y9">
        <v>96</v>
      </c>
      <c r="Z9">
        <v>96</v>
      </c>
      <c r="AF9" s="26" t="s">
        <v>58</v>
      </c>
      <c r="AG9" s="5" t="s">
        <v>58</v>
      </c>
      <c r="AH9" s="5"/>
      <c r="AI9" s="5"/>
      <c r="AJ9" s="5"/>
    </row>
    <row r="10" spans="1:38" x14ac:dyDescent="0.3">
      <c r="A10">
        <v>7</v>
      </c>
      <c r="B10" s="23">
        <f t="shared" si="0"/>
        <v>688.25</v>
      </c>
      <c r="C10" s="15">
        <f t="shared" si="2"/>
        <v>491.75</v>
      </c>
      <c r="D10" s="15">
        <f t="shared" si="3"/>
        <v>0</v>
      </c>
      <c r="E10" s="15">
        <f t="shared" si="1"/>
        <v>0</v>
      </c>
      <c r="F10" s="15">
        <f t="shared" si="1"/>
        <v>150</v>
      </c>
      <c r="G10" s="15">
        <f t="shared" si="1"/>
        <v>21.75</v>
      </c>
      <c r="H10" s="15">
        <f t="shared" si="1"/>
        <v>100</v>
      </c>
      <c r="I10" s="15">
        <f t="shared" si="1"/>
        <v>0</v>
      </c>
      <c r="J10" s="15">
        <f t="shared" si="1"/>
        <v>220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80</v>
      </c>
      <c r="R10" s="15" t="s">
        <v>62</v>
      </c>
      <c r="S10" s="15" t="s">
        <v>60</v>
      </c>
      <c r="T10" s="15">
        <v>25.92</v>
      </c>
      <c r="U10" s="15">
        <v>70.08</v>
      </c>
      <c r="V10" s="15">
        <f t="shared" si="4"/>
        <v>80</v>
      </c>
      <c r="W10" s="106">
        <f>Summary!$C$20*K10+Summary!$C$21*L10+Summary!$C$22*M10+Summary!$C$23*N10+Summary!$C$24*O10+Summary!$C$25*P10+Summary!$C$26*Q10</f>
        <v>797.6</v>
      </c>
      <c r="X10" t="s">
        <v>61</v>
      </c>
      <c r="Y10">
        <v>96</v>
      </c>
      <c r="Z10">
        <v>96</v>
      </c>
      <c r="AF10" s="26" t="s">
        <v>58</v>
      </c>
      <c r="AG10" s="5" t="s">
        <v>58</v>
      </c>
      <c r="AH10" s="5"/>
      <c r="AI10" s="5"/>
      <c r="AJ10" s="5"/>
    </row>
    <row r="11" spans="1:38" x14ac:dyDescent="0.3">
      <c r="A11">
        <v>8</v>
      </c>
      <c r="B11" s="23">
        <f t="shared" si="0"/>
        <v>768.25</v>
      </c>
      <c r="C11" s="15">
        <f t="shared" si="2"/>
        <v>411.75</v>
      </c>
      <c r="D11" s="15">
        <f t="shared" si="3"/>
        <v>0</v>
      </c>
      <c r="E11" s="15">
        <f t="shared" si="1"/>
        <v>0</v>
      </c>
      <c r="F11" s="15">
        <f t="shared" si="1"/>
        <v>150</v>
      </c>
      <c r="G11" s="15">
        <f t="shared" si="1"/>
        <v>21.75</v>
      </c>
      <c r="H11" s="15">
        <f t="shared" si="1"/>
        <v>100</v>
      </c>
      <c r="I11" s="15">
        <f t="shared" si="1"/>
        <v>0</v>
      </c>
      <c r="J11" s="15">
        <f t="shared" si="1"/>
        <v>140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80</v>
      </c>
      <c r="R11" s="15" t="s">
        <v>62</v>
      </c>
      <c r="S11" s="15" t="s">
        <v>60</v>
      </c>
      <c r="T11" s="15">
        <v>25.92</v>
      </c>
      <c r="U11" s="15">
        <v>70.08</v>
      </c>
      <c r="V11" s="15">
        <f t="shared" si="4"/>
        <v>80</v>
      </c>
      <c r="W11" s="106">
        <f>Summary!$C$20*K11+Summary!$C$21*L11+Summary!$C$22*M11+Summary!$C$23*N11+Summary!$C$24*O11+Summary!$C$25*P11+Summary!$C$26*Q11</f>
        <v>797.6</v>
      </c>
      <c r="X11" t="s">
        <v>61</v>
      </c>
      <c r="Y11">
        <v>96</v>
      </c>
      <c r="Z11">
        <v>96</v>
      </c>
      <c r="AF11" s="26" t="s">
        <v>58</v>
      </c>
      <c r="AG11" s="5" t="s">
        <v>58</v>
      </c>
      <c r="AH11" s="5"/>
      <c r="AI11" s="5"/>
      <c r="AJ11" s="5"/>
      <c r="AK11" s="26" t="s">
        <v>137</v>
      </c>
    </row>
    <row r="12" spans="1:38" x14ac:dyDescent="0.3">
      <c r="A12">
        <v>9</v>
      </c>
      <c r="B12" s="23">
        <f t="shared" si="0"/>
        <v>848.25</v>
      </c>
      <c r="C12" s="15">
        <f t="shared" si="2"/>
        <v>331.75</v>
      </c>
      <c r="D12" s="15">
        <f t="shared" si="3"/>
        <v>0</v>
      </c>
      <c r="E12" s="15">
        <f t="shared" si="1"/>
        <v>0</v>
      </c>
      <c r="F12" s="15">
        <f t="shared" si="1"/>
        <v>150</v>
      </c>
      <c r="G12" s="15">
        <f t="shared" si="1"/>
        <v>21.75</v>
      </c>
      <c r="H12" s="15">
        <f t="shared" si="1"/>
        <v>100</v>
      </c>
      <c r="I12" s="15">
        <f t="shared" si="1"/>
        <v>0</v>
      </c>
      <c r="J12" s="15">
        <f t="shared" si="1"/>
        <v>60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80</v>
      </c>
      <c r="R12" s="15" t="s">
        <v>62</v>
      </c>
      <c r="S12" s="15" t="s">
        <v>60</v>
      </c>
      <c r="T12" s="15">
        <v>25.92</v>
      </c>
      <c r="U12" s="15">
        <v>70.08</v>
      </c>
      <c r="V12" s="15">
        <f>SUM(K12:Q12)</f>
        <v>80</v>
      </c>
      <c r="W12" s="106">
        <f>Summary!$C$20*K12+Summary!$C$21*L12+Summary!$C$22*M12+Summary!$C$23*N12+Summary!$C$24*O12+Summary!$C$25*P12+Summary!$C$26*Q12</f>
        <v>797.6</v>
      </c>
      <c r="X12" t="s">
        <v>61</v>
      </c>
      <c r="Y12">
        <v>96</v>
      </c>
      <c r="Z12">
        <v>96</v>
      </c>
      <c r="AF12" s="26" t="s">
        <v>63</v>
      </c>
      <c r="AG12" s="5" t="s">
        <v>63</v>
      </c>
      <c r="AH12" s="5"/>
      <c r="AI12" s="5"/>
      <c r="AJ12" s="5"/>
      <c r="AK12" s="5" t="s">
        <v>69</v>
      </c>
    </row>
    <row r="13" spans="1:38" x14ac:dyDescent="0.3">
      <c r="A13">
        <v>10</v>
      </c>
      <c r="B13" s="23">
        <f t="shared" si="0"/>
        <v>208.25</v>
      </c>
      <c r="C13" s="15">
        <f t="shared" si="2"/>
        <v>971.75</v>
      </c>
      <c r="D13" s="15">
        <f t="shared" si="3"/>
        <v>0</v>
      </c>
      <c r="E13" s="53">
        <f>E12-L13 + 150</f>
        <v>150</v>
      </c>
      <c r="F13" s="15">
        <f t="shared" si="1"/>
        <v>138</v>
      </c>
      <c r="G13" s="15">
        <f t="shared" si="1"/>
        <v>21.75</v>
      </c>
      <c r="H13" s="15">
        <f t="shared" si="1"/>
        <v>92</v>
      </c>
      <c r="I13" s="53">
        <f>I12-P13 +  250</f>
        <v>250</v>
      </c>
      <c r="J13" s="53">
        <f>J12-Q13 + 320</f>
        <v>320</v>
      </c>
      <c r="K13" s="15">
        <v>0</v>
      </c>
      <c r="L13" s="15">
        <v>0</v>
      </c>
      <c r="M13" s="15">
        <f>0.6*(80-60)</f>
        <v>12</v>
      </c>
      <c r="N13" s="15">
        <v>0</v>
      </c>
      <c r="O13" s="15">
        <f>0.4*(80-60)</f>
        <v>8</v>
      </c>
      <c r="P13" s="15">
        <v>0</v>
      </c>
      <c r="Q13" s="15">
        <v>60</v>
      </c>
      <c r="R13" s="15" t="s">
        <v>62</v>
      </c>
      <c r="S13" s="15" t="s">
        <v>60</v>
      </c>
      <c r="T13" s="15">
        <v>20.399999999999991</v>
      </c>
      <c r="U13" s="15">
        <v>55.15555555555553</v>
      </c>
      <c r="V13" s="15">
        <f t="shared" si="4"/>
        <v>80</v>
      </c>
      <c r="W13" s="106">
        <f>Summary!$C$20*K13+Summary!$C$21*L13+Summary!$C$22*M13+Summary!$C$23*N13+Summary!$C$24*O13+Summary!$C$25*P13+Summary!$C$26*Q13</f>
        <v>876.24</v>
      </c>
      <c r="X13" t="s">
        <v>61</v>
      </c>
      <c r="Y13">
        <v>75.555555555555515</v>
      </c>
      <c r="Z13">
        <v>96</v>
      </c>
      <c r="AF13" s="26" t="s">
        <v>63</v>
      </c>
      <c r="AG13" s="5" t="s">
        <v>63</v>
      </c>
      <c r="AI13" s="5"/>
      <c r="AJ13" s="5"/>
      <c r="AK13" s="5" t="s">
        <v>58</v>
      </c>
    </row>
    <row r="14" spans="1:38" x14ac:dyDescent="0.3">
      <c r="A14">
        <v>11</v>
      </c>
      <c r="B14" s="23">
        <f t="shared" si="0"/>
        <v>288.25</v>
      </c>
      <c r="C14" s="15">
        <f t="shared" si="2"/>
        <v>891.75</v>
      </c>
      <c r="D14" s="15">
        <f t="shared" si="3"/>
        <v>0</v>
      </c>
      <c r="E14" s="53">
        <f t="shared" si="1"/>
        <v>150</v>
      </c>
      <c r="F14" s="15">
        <f t="shared" si="1"/>
        <v>90</v>
      </c>
      <c r="G14" s="15">
        <f t="shared" si="1"/>
        <v>21.75</v>
      </c>
      <c r="H14" s="15">
        <f t="shared" si="1"/>
        <v>60</v>
      </c>
      <c r="I14" s="53">
        <f t="shared" si="1"/>
        <v>250</v>
      </c>
      <c r="J14" s="53">
        <f t="shared" si="1"/>
        <v>320</v>
      </c>
      <c r="K14" s="15">
        <v>0</v>
      </c>
      <c r="L14" s="15">
        <v>0</v>
      </c>
      <c r="M14" s="15">
        <f>80*0.6</f>
        <v>48</v>
      </c>
      <c r="N14" s="15">
        <v>0</v>
      </c>
      <c r="O14" s="15">
        <f>0.4*80</f>
        <v>32</v>
      </c>
      <c r="P14" s="15">
        <v>0</v>
      </c>
      <c r="Q14" s="15">
        <v>0</v>
      </c>
      <c r="R14" s="15" t="s">
        <v>59</v>
      </c>
      <c r="S14" s="15" t="s">
        <v>60</v>
      </c>
      <c r="T14" s="15">
        <v>25.65</v>
      </c>
      <c r="U14" s="15">
        <v>69.349999999999994</v>
      </c>
      <c r="V14" s="15">
        <f t="shared" si="4"/>
        <v>80</v>
      </c>
      <c r="W14" s="106">
        <f>Summary!$C$20*K14+Summary!$C$21*L14+Summary!$C$22*M14+Summary!$C$23*N14+Summary!$C$24*O14+Summary!$C$25*P14+Summary!$C$26*Q14</f>
        <v>1112.1600000000001</v>
      </c>
      <c r="X14" t="s">
        <v>61</v>
      </c>
      <c r="Y14">
        <v>95</v>
      </c>
      <c r="Z14">
        <v>95</v>
      </c>
      <c r="AF14" s="26" t="s">
        <v>71</v>
      </c>
      <c r="AG14" s="5" t="s">
        <v>71</v>
      </c>
      <c r="AH14" s="5" t="s">
        <v>70</v>
      </c>
      <c r="AJ14" s="5"/>
      <c r="AK14" s="5" t="s">
        <v>58</v>
      </c>
    </row>
    <row r="15" spans="1:38" x14ac:dyDescent="0.3">
      <c r="A15">
        <v>12</v>
      </c>
      <c r="B15" s="23">
        <f t="shared" si="0"/>
        <v>368.25</v>
      </c>
      <c r="C15" s="15">
        <f t="shared" si="2"/>
        <v>811.75</v>
      </c>
      <c r="D15" s="15">
        <f t="shared" si="3"/>
        <v>0</v>
      </c>
      <c r="E15" s="53">
        <f t="shared" si="1"/>
        <v>150</v>
      </c>
      <c r="F15" s="15">
        <f t="shared" si="1"/>
        <v>42</v>
      </c>
      <c r="G15" s="15">
        <f t="shared" si="1"/>
        <v>21.75</v>
      </c>
      <c r="H15" s="15">
        <f t="shared" si="1"/>
        <v>28</v>
      </c>
      <c r="I15" s="53">
        <f t="shared" si="1"/>
        <v>250</v>
      </c>
      <c r="J15" s="53">
        <f t="shared" si="1"/>
        <v>320</v>
      </c>
      <c r="K15">
        <v>0</v>
      </c>
      <c r="L15">
        <v>0</v>
      </c>
      <c r="M15">
        <v>48</v>
      </c>
      <c r="N15">
        <v>0</v>
      </c>
      <c r="O15">
        <v>32</v>
      </c>
      <c r="P15">
        <v>0</v>
      </c>
      <c r="Q15">
        <v>0</v>
      </c>
      <c r="R15" t="s">
        <v>59</v>
      </c>
      <c r="S15" t="s">
        <v>60</v>
      </c>
      <c r="T15">
        <v>25.65</v>
      </c>
      <c r="U15">
        <v>69.349999999999994</v>
      </c>
      <c r="V15">
        <f t="shared" si="4"/>
        <v>80</v>
      </c>
      <c r="W15" s="106">
        <f>Summary!$C$20*K15+Summary!$C$21*L15+Summary!$C$22*M15+Summary!$C$23*N15+Summary!$C$24*O15+Summary!$C$25*P15+Summary!$C$26*Q15</f>
        <v>1112.1600000000001</v>
      </c>
      <c r="X15" t="s">
        <v>61</v>
      </c>
      <c r="Y15">
        <v>95</v>
      </c>
      <c r="Z15">
        <v>95</v>
      </c>
      <c r="AF15" s="26" t="s">
        <v>71</v>
      </c>
      <c r="AG15" s="5" t="s">
        <v>71</v>
      </c>
      <c r="AH15" s="5" t="s">
        <v>58</v>
      </c>
      <c r="AK15" s="5" t="s">
        <v>73</v>
      </c>
    </row>
    <row r="16" spans="1:38" ht="15" customHeight="1" x14ac:dyDescent="0.3">
      <c r="A16">
        <v>13</v>
      </c>
      <c r="B16" s="23">
        <f t="shared" si="0"/>
        <v>438.25</v>
      </c>
      <c r="C16" s="15">
        <f t="shared" si="2"/>
        <v>741.75</v>
      </c>
      <c r="D16" s="15">
        <f t="shared" si="3"/>
        <v>0</v>
      </c>
      <c r="E16" s="53">
        <f t="shared" si="1"/>
        <v>150</v>
      </c>
      <c r="F16" s="15">
        <f t="shared" si="1"/>
        <v>0</v>
      </c>
      <c r="G16" s="15">
        <f t="shared" si="1"/>
        <v>21.75</v>
      </c>
      <c r="H16" s="15">
        <f t="shared" si="1"/>
        <v>0</v>
      </c>
      <c r="I16" s="53">
        <f t="shared" si="1"/>
        <v>250</v>
      </c>
      <c r="J16" s="53">
        <f t="shared" si="1"/>
        <v>320</v>
      </c>
      <c r="K16">
        <v>0</v>
      </c>
      <c r="L16">
        <v>0</v>
      </c>
      <c r="M16">
        <v>42</v>
      </c>
      <c r="N16">
        <v>0</v>
      </c>
      <c r="O16">
        <f>(42/60)*40</f>
        <v>28</v>
      </c>
      <c r="P16">
        <v>0</v>
      </c>
      <c r="Q16">
        <v>0</v>
      </c>
      <c r="R16" t="s">
        <v>59</v>
      </c>
      <c r="S16" t="s">
        <v>60</v>
      </c>
      <c r="T16">
        <v>25.65</v>
      </c>
      <c r="U16">
        <v>69.349999999999994</v>
      </c>
      <c r="V16">
        <f t="shared" si="4"/>
        <v>70</v>
      </c>
      <c r="W16" s="106">
        <f>Summary!$C$20*K16+Summary!$C$21*L16+Summary!$C$22*M16+Summary!$C$23*N16+Summary!$C$24*O16+Summary!$C$25*P16+Summary!$C$26*Q16</f>
        <v>973.1400000000001</v>
      </c>
      <c r="X16" t="s">
        <v>61</v>
      </c>
      <c r="Y16">
        <v>95</v>
      </c>
      <c r="Z16">
        <v>95</v>
      </c>
      <c r="AF16" s="26" t="s">
        <v>71</v>
      </c>
      <c r="AG16" s="5" t="s">
        <v>71</v>
      </c>
      <c r="AH16" s="5" t="s">
        <v>58</v>
      </c>
      <c r="AK16" s="5" t="s">
        <v>73</v>
      </c>
    </row>
    <row r="17" spans="1:41" s="6" customFormat="1" x14ac:dyDescent="0.3">
      <c r="A17">
        <v>14</v>
      </c>
      <c r="B17" s="23">
        <f t="shared" si="0"/>
        <v>523.25</v>
      </c>
      <c r="C17" s="15">
        <f t="shared" si="2"/>
        <v>656.75</v>
      </c>
      <c r="D17" s="15">
        <f t="shared" si="3"/>
        <v>0</v>
      </c>
      <c r="E17" s="60">
        <f t="shared" si="1"/>
        <v>150</v>
      </c>
      <c r="F17" s="15">
        <f t="shared" si="1"/>
        <v>0</v>
      </c>
      <c r="G17" s="15">
        <f t="shared" si="1"/>
        <v>21.75</v>
      </c>
      <c r="H17" s="15">
        <f t="shared" si="1"/>
        <v>0</v>
      </c>
      <c r="I17" s="60">
        <f t="shared" si="1"/>
        <v>165</v>
      </c>
      <c r="J17" s="60">
        <f t="shared" si="1"/>
        <v>320</v>
      </c>
      <c r="K17">
        <v>0</v>
      </c>
      <c r="L17">
        <v>0</v>
      </c>
      <c r="M17">
        <v>0</v>
      </c>
      <c r="N17">
        <v>0</v>
      </c>
      <c r="O17">
        <v>0</v>
      </c>
      <c r="P17">
        <v>85</v>
      </c>
      <c r="Q17">
        <v>0</v>
      </c>
      <c r="R17" t="s">
        <v>59</v>
      </c>
      <c r="S17" t="s">
        <v>60</v>
      </c>
      <c r="T17">
        <v>24.797260273972611</v>
      </c>
      <c r="U17">
        <v>67.044444444444451</v>
      </c>
      <c r="V17">
        <f t="shared" si="4"/>
        <v>85</v>
      </c>
      <c r="W17" s="106">
        <f>Summary!$C$20*K17+Summary!$C$21*L17+Summary!$C$22*M17+Summary!$C$23*N17+Summary!$C$24*O17+Summary!$C$25*P17+Summary!$C$26*Q17</f>
        <v>848.30000000000007</v>
      </c>
      <c r="X17" t="s">
        <v>61</v>
      </c>
      <c r="Y17">
        <v>91.841704718417063</v>
      </c>
      <c r="Z17">
        <v>95</v>
      </c>
      <c r="AA17"/>
      <c r="AB17"/>
      <c r="AC17"/>
      <c r="AD17"/>
      <c r="AE17"/>
      <c r="AF17" s="28" t="s">
        <v>138</v>
      </c>
      <c r="AG17" s="26" t="s">
        <v>139</v>
      </c>
      <c r="AH17" s="5" t="s">
        <v>58</v>
      </c>
      <c r="AI17"/>
      <c r="AJ17"/>
      <c r="AK17" t="s">
        <v>63</v>
      </c>
      <c r="AL17"/>
      <c r="AM17"/>
      <c r="AN17"/>
      <c r="AO17"/>
    </row>
    <row r="18" spans="1:41" x14ac:dyDescent="0.3">
      <c r="A18">
        <v>15</v>
      </c>
      <c r="B18" s="23">
        <f t="shared" si="0"/>
        <v>58.25</v>
      </c>
      <c r="C18" s="15">
        <f t="shared" si="2"/>
        <v>1121.75</v>
      </c>
      <c r="D18" s="53">
        <f>D17-K18 + 400</f>
        <v>400</v>
      </c>
      <c r="E18" s="15">
        <f t="shared" si="1"/>
        <v>150</v>
      </c>
      <c r="F18" s="53">
        <f>F17-M18 + 150</f>
        <v>150</v>
      </c>
      <c r="G18" s="15">
        <f t="shared" si="1"/>
        <v>21.75</v>
      </c>
      <c r="H18" s="15">
        <f t="shared" si="1"/>
        <v>0</v>
      </c>
      <c r="I18" s="15">
        <f t="shared" si="1"/>
        <v>80</v>
      </c>
      <c r="J18" s="15">
        <f t="shared" si="1"/>
        <v>320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85</v>
      </c>
      <c r="Q18" s="15">
        <v>0</v>
      </c>
      <c r="R18" s="15" t="s">
        <v>53</v>
      </c>
      <c r="S18" s="15"/>
      <c r="T18" s="15">
        <v>7.1054273576010019E-15</v>
      </c>
      <c r="U18" s="15">
        <v>0</v>
      </c>
      <c r="V18" s="15">
        <f t="shared" si="4"/>
        <v>85</v>
      </c>
      <c r="W18" s="106">
        <f>Summary!$C$20*K18+Summary!$C$21*L18+Summary!$C$22*M18+Summary!$C$23*N18+Summary!$C$24*O18+Summary!$C$25*P18+Summary!$C$26*Q18</f>
        <v>848.30000000000007</v>
      </c>
      <c r="X18" t="s">
        <v>72</v>
      </c>
      <c r="Y18">
        <v>7.1054273576010019E-15</v>
      </c>
      <c r="Z18">
        <v>96</v>
      </c>
      <c r="AH18" s="62" t="s">
        <v>73</v>
      </c>
      <c r="AK18" t="s">
        <v>63</v>
      </c>
    </row>
    <row r="19" spans="1:41" s="6" customFormat="1" x14ac:dyDescent="0.3">
      <c r="A19">
        <v>16</v>
      </c>
      <c r="B19" s="23">
        <f t="shared" si="0"/>
        <v>143.25</v>
      </c>
      <c r="C19" s="15">
        <f>SUM(D19:J19)</f>
        <v>1036.75</v>
      </c>
      <c r="D19" s="53">
        <f t="shared" si="3"/>
        <v>400</v>
      </c>
      <c r="E19" s="15">
        <f t="shared" si="1"/>
        <v>150</v>
      </c>
      <c r="F19" s="53">
        <f t="shared" si="1"/>
        <v>150</v>
      </c>
      <c r="G19" s="15">
        <f t="shared" si="1"/>
        <v>21.75</v>
      </c>
      <c r="H19" s="15">
        <f t="shared" si="1"/>
        <v>0</v>
      </c>
      <c r="I19" s="15">
        <f>I18-P19</f>
        <v>0</v>
      </c>
      <c r="J19" s="15">
        <f t="shared" si="1"/>
        <v>315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80</v>
      </c>
      <c r="Q19" s="15">
        <v>5</v>
      </c>
      <c r="R19" s="15" t="s">
        <v>59</v>
      </c>
      <c r="S19" s="15"/>
      <c r="T19" s="15">
        <v>95</v>
      </c>
      <c r="U19" s="15">
        <v>0</v>
      </c>
      <c r="V19" s="15">
        <f t="shared" si="4"/>
        <v>85</v>
      </c>
      <c r="W19" s="106">
        <f>Summary!$C$20*K19+Summary!$C$21*L19+Summary!$C$22*M19+Summary!$C$23*N19+Summary!$C$24*O19+Summary!$C$25*P19+Summary!$C$26*Q19</f>
        <v>848.25000000000011</v>
      </c>
      <c r="X19" t="s">
        <v>72</v>
      </c>
      <c r="Y19">
        <v>95</v>
      </c>
      <c r="Z19">
        <v>95</v>
      </c>
      <c r="AA19"/>
      <c r="AB19"/>
      <c r="AC19"/>
      <c r="AD19"/>
      <c r="AE19"/>
      <c r="AF19"/>
      <c r="AG19" s="5"/>
      <c r="AH19" s="62" t="s">
        <v>73</v>
      </c>
      <c r="AI19"/>
      <c r="AJ19"/>
      <c r="AK19" t="s">
        <v>66</v>
      </c>
      <c r="AL19"/>
      <c r="AM19"/>
      <c r="AN19"/>
      <c r="AO19"/>
    </row>
    <row r="20" spans="1:41" x14ac:dyDescent="0.3">
      <c r="A20">
        <v>17</v>
      </c>
      <c r="B20" s="23">
        <f t="shared" si="0"/>
        <v>223.25</v>
      </c>
      <c r="C20" s="15">
        <f t="shared" si="2"/>
        <v>956.75</v>
      </c>
      <c r="D20" s="53">
        <f t="shared" si="3"/>
        <v>400</v>
      </c>
      <c r="E20" s="15">
        <f t="shared" si="3"/>
        <v>150</v>
      </c>
      <c r="F20" s="53">
        <f t="shared" si="3"/>
        <v>150</v>
      </c>
      <c r="G20" s="15">
        <f t="shared" si="3"/>
        <v>21.75</v>
      </c>
      <c r="H20" s="15">
        <f t="shared" si="3"/>
        <v>0</v>
      </c>
      <c r="I20" s="15">
        <f t="shared" si="3"/>
        <v>0</v>
      </c>
      <c r="J20" s="15">
        <f t="shared" si="3"/>
        <v>235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80</v>
      </c>
      <c r="R20" s="15" t="s">
        <v>59</v>
      </c>
      <c r="S20" s="15"/>
      <c r="T20" s="15">
        <v>77.60273972602738</v>
      </c>
      <c r="U20" s="15">
        <v>0</v>
      </c>
      <c r="V20" s="15">
        <f t="shared" si="4"/>
        <v>80</v>
      </c>
      <c r="W20" s="106">
        <f>Summary!$C$20*K20+Summary!$C$21*L20+Summary!$C$22*M20+Summary!$C$23*N20+Summary!$C$24*O20+Summary!$C$25*P20+Summary!$C$26*Q20</f>
        <v>797.6</v>
      </c>
      <c r="X20" t="s">
        <v>72</v>
      </c>
      <c r="Y20">
        <v>77.60273972602738</v>
      </c>
      <c r="Z20">
        <v>95</v>
      </c>
      <c r="AH20" s="62" t="s">
        <v>73</v>
      </c>
      <c r="AK20" t="s">
        <v>66</v>
      </c>
    </row>
    <row r="21" spans="1:41" s="6" customFormat="1" x14ac:dyDescent="0.3">
      <c r="A21">
        <v>18</v>
      </c>
      <c r="B21" s="23">
        <f t="shared" si="0"/>
        <v>303.25</v>
      </c>
      <c r="C21" s="15">
        <f>SUM(D21:J21)</f>
        <v>876.75</v>
      </c>
      <c r="D21" s="53">
        <f t="shared" si="3"/>
        <v>400</v>
      </c>
      <c r="E21" s="15">
        <f t="shared" si="3"/>
        <v>150</v>
      </c>
      <c r="F21" s="53">
        <f t="shared" si="3"/>
        <v>150</v>
      </c>
      <c r="G21" s="15">
        <f t="shared" si="3"/>
        <v>21.75</v>
      </c>
      <c r="H21" s="15">
        <f t="shared" si="3"/>
        <v>0</v>
      </c>
      <c r="I21" s="15">
        <f t="shared" si="3"/>
        <v>0</v>
      </c>
      <c r="J21" s="15">
        <f t="shared" si="3"/>
        <v>155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80</v>
      </c>
      <c r="R21" s="15" t="s">
        <v>75</v>
      </c>
      <c r="S21" s="15"/>
      <c r="T21" s="15">
        <v>95</v>
      </c>
      <c r="U21" s="15">
        <v>0</v>
      </c>
      <c r="V21" s="15">
        <f t="shared" si="4"/>
        <v>80</v>
      </c>
      <c r="W21" s="106">
        <f>Summary!$C$20*K21+Summary!$C$21*L21+Summary!$C$22*M21+Summary!$C$23*N21+Summary!$C$24*O21+Summary!$C$25*P21+Summary!$C$26*Q21</f>
        <v>797.6</v>
      </c>
      <c r="X21" t="s">
        <v>72</v>
      </c>
      <c r="Y21">
        <v>95</v>
      </c>
      <c r="Z21">
        <v>95</v>
      </c>
      <c r="AA21"/>
      <c r="AB21"/>
      <c r="AC21"/>
      <c r="AD21"/>
      <c r="AE21"/>
      <c r="AF21"/>
      <c r="AG21"/>
      <c r="AH21" s="62" t="s">
        <v>73</v>
      </c>
      <c r="AI21" t="s">
        <v>77</v>
      </c>
      <c r="AJ21"/>
      <c r="AK21" t="s">
        <v>66</v>
      </c>
      <c r="AL21"/>
      <c r="AM21"/>
      <c r="AN21"/>
      <c r="AO21"/>
    </row>
    <row r="22" spans="1:41" x14ac:dyDescent="0.3">
      <c r="A22">
        <v>19</v>
      </c>
      <c r="B22" s="23">
        <f t="shared" si="0"/>
        <v>383.25</v>
      </c>
      <c r="C22" s="15">
        <f t="shared" si="2"/>
        <v>796.75</v>
      </c>
      <c r="D22" s="60">
        <f t="shared" si="3"/>
        <v>400</v>
      </c>
      <c r="E22" s="15">
        <f t="shared" si="3"/>
        <v>150</v>
      </c>
      <c r="F22" s="60">
        <f t="shared" si="3"/>
        <v>150</v>
      </c>
      <c r="G22" s="15">
        <f t="shared" si="3"/>
        <v>21.75</v>
      </c>
      <c r="H22" s="15">
        <f t="shared" si="3"/>
        <v>0</v>
      </c>
      <c r="I22" s="15">
        <f t="shared" si="3"/>
        <v>0</v>
      </c>
      <c r="J22" s="15">
        <f t="shared" si="3"/>
        <v>75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80</v>
      </c>
      <c r="R22" s="15" t="s">
        <v>53</v>
      </c>
      <c r="S22" s="15"/>
      <c r="T22" s="15">
        <v>96</v>
      </c>
      <c r="U22" s="15">
        <v>0</v>
      </c>
      <c r="V22" s="15">
        <f t="shared" si="4"/>
        <v>80</v>
      </c>
      <c r="W22" s="106">
        <f>Summary!$C$20*K22+Summary!$C$21*L22+Summary!$C$22*M22+Summary!$C$23*N22+Summary!$C$24*O22+Summary!$C$25*P22+Summary!$C$26*Q22</f>
        <v>797.6</v>
      </c>
      <c r="X22" t="s">
        <v>72</v>
      </c>
      <c r="Y22">
        <v>96</v>
      </c>
      <c r="Z22">
        <v>96</v>
      </c>
      <c r="AH22" s="5" t="s">
        <v>63</v>
      </c>
      <c r="AI22" t="s">
        <v>78</v>
      </c>
      <c r="AK22" s="28" t="s">
        <v>140</v>
      </c>
    </row>
    <row r="23" spans="1:41" s="6" customFormat="1" x14ac:dyDescent="0.3">
      <c r="A23">
        <v>20</v>
      </c>
      <c r="B23" s="23">
        <f t="shared" si="0"/>
        <v>478.79794520547944</v>
      </c>
      <c r="C23" s="15">
        <f t="shared" si="2"/>
        <v>701.20205479452056</v>
      </c>
      <c r="D23" s="15">
        <f t="shared" si="3"/>
        <v>385</v>
      </c>
      <c r="E23" s="15">
        <f t="shared" si="3"/>
        <v>150</v>
      </c>
      <c r="F23" s="15">
        <f t="shared" si="3"/>
        <v>150</v>
      </c>
      <c r="G23" s="15">
        <f t="shared" si="3"/>
        <v>16.202054794520549</v>
      </c>
      <c r="H23" s="15">
        <f t="shared" si="3"/>
        <v>0</v>
      </c>
      <c r="I23" s="15">
        <f t="shared" si="3"/>
        <v>0</v>
      </c>
      <c r="J23" s="15">
        <f t="shared" si="3"/>
        <v>0</v>
      </c>
      <c r="K23" s="15">
        <v>15</v>
      </c>
      <c r="L23" s="15">
        <v>0</v>
      </c>
      <c r="M23" s="15">
        <v>0</v>
      </c>
      <c r="N23" s="15">
        <f xml:space="preserve"> 15/73*27</f>
        <v>5.5479452054794516</v>
      </c>
      <c r="O23" s="15">
        <v>0</v>
      </c>
      <c r="P23" s="15">
        <v>0</v>
      </c>
      <c r="Q23" s="15">
        <v>75</v>
      </c>
      <c r="R23" s="15" t="s">
        <v>53</v>
      </c>
      <c r="S23" s="15"/>
      <c r="T23" s="15">
        <v>96</v>
      </c>
      <c r="U23" s="15">
        <v>0</v>
      </c>
      <c r="V23" s="15">
        <f t="shared" si="4"/>
        <v>95.547945205479451</v>
      </c>
      <c r="W23" s="106">
        <f>Summary!$C$20*K23+Summary!$C$21*L23+Summary!$C$22*M23+Summary!$C$23*N23+Summary!$C$24*O23+Summary!$C$25*P23+Summary!$C$26*Q23</f>
        <v>1092.2424657534248</v>
      </c>
      <c r="X23" t="s">
        <v>72</v>
      </c>
      <c r="Y23">
        <v>96</v>
      </c>
      <c r="Z23">
        <v>96</v>
      </c>
      <c r="AA23"/>
      <c r="AB23"/>
      <c r="AC23"/>
      <c r="AD23"/>
      <c r="AE23"/>
      <c r="AF23"/>
      <c r="AG23"/>
      <c r="AH23" s="5" t="s">
        <v>63</v>
      </c>
      <c r="AI23" t="s">
        <v>58</v>
      </c>
      <c r="AJ23"/>
      <c r="AL23"/>
      <c r="AM23"/>
      <c r="AN23"/>
      <c r="AO23"/>
    </row>
    <row r="24" spans="1:41" x14ac:dyDescent="0.3">
      <c r="A24">
        <v>21</v>
      </c>
      <c r="B24" s="23">
        <f t="shared" si="0"/>
        <v>24.797945205479436</v>
      </c>
      <c r="C24" s="15">
        <f t="shared" si="2"/>
        <v>1155.2020547945206</v>
      </c>
      <c r="D24" s="15">
        <f t="shared" si="3"/>
        <v>315</v>
      </c>
      <c r="E24" s="15">
        <f t="shared" si="3"/>
        <v>150</v>
      </c>
      <c r="F24" s="15">
        <f t="shared" si="3"/>
        <v>124</v>
      </c>
      <c r="G24" s="15">
        <f t="shared" si="3"/>
        <v>16.202054794520549</v>
      </c>
      <c r="H24" s="15">
        <f t="shared" si="3"/>
        <v>0</v>
      </c>
      <c r="I24" s="53">
        <f>I23-P24 +550</f>
        <v>550</v>
      </c>
      <c r="J24" s="15">
        <f t="shared" si="3"/>
        <v>0</v>
      </c>
      <c r="K24" s="15">
        <v>70</v>
      </c>
      <c r="L24" s="15">
        <v>0</v>
      </c>
      <c r="M24" s="15">
        <v>26</v>
      </c>
      <c r="N24" s="15">
        <v>0</v>
      </c>
      <c r="O24" s="15">
        <v>0</v>
      </c>
      <c r="P24" s="15">
        <v>0</v>
      </c>
      <c r="Q24" s="15">
        <v>0</v>
      </c>
      <c r="R24" s="15" t="s">
        <v>53</v>
      </c>
      <c r="S24" s="15"/>
      <c r="T24" s="15">
        <v>8</v>
      </c>
      <c r="U24" s="15">
        <v>0</v>
      </c>
      <c r="V24" s="15">
        <f t="shared" si="4"/>
        <v>96</v>
      </c>
      <c r="W24" s="106">
        <f>Summary!$C$20*K24+Summary!$C$21*L24+Summary!$C$22*M24+Summary!$C$23*N24+Summary!$C$24*O24+Summary!$C$25*P24+Summary!$C$26*Q24</f>
        <v>1517.96</v>
      </c>
      <c r="X24" t="s">
        <v>72</v>
      </c>
      <c r="Y24">
        <v>8</v>
      </c>
      <c r="Z24">
        <v>96</v>
      </c>
      <c r="AH24" s="5" t="s">
        <v>71</v>
      </c>
      <c r="AI24" t="s">
        <v>58</v>
      </c>
      <c r="AJ24" t="s">
        <v>79</v>
      </c>
    </row>
    <row r="25" spans="1:41" x14ac:dyDescent="0.3">
      <c r="A25">
        <v>22</v>
      </c>
      <c r="B25" s="23">
        <f t="shared" si="0"/>
        <v>120.79794520547944</v>
      </c>
      <c r="C25" s="15">
        <f>SUM(D25:J25)</f>
        <v>1059.2020547945206</v>
      </c>
      <c r="D25" s="15">
        <f t="shared" si="3"/>
        <v>245</v>
      </c>
      <c r="E25" s="15">
        <f t="shared" si="3"/>
        <v>150</v>
      </c>
      <c r="F25" s="15">
        <f t="shared" si="3"/>
        <v>98</v>
      </c>
      <c r="G25" s="15">
        <f t="shared" si="3"/>
        <v>16.202054794520549</v>
      </c>
      <c r="H25" s="15">
        <f t="shared" si="3"/>
        <v>0</v>
      </c>
      <c r="I25" s="53">
        <f t="shared" si="3"/>
        <v>550</v>
      </c>
      <c r="J25" s="15">
        <f t="shared" si="3"/>
        <v>0</v>
      </c>
      <c r="K25" s="15">
        <v>70</v>
      </c>
      <c r="L25" s="15">
        <v>0</v>
      </c>
      <c r="M25" s="15">
        <v>26</v>
      </c>
      <c r="N25" s="15">
        <v>0</v>
      </c>
      <c r="O25" s="15">
        <v>0</v>
      </c>
      <c r="P25" s="15">
        <v>0</v>
      </c>
      <c r="Q25" s="15">
        <v>0</v>
      </c>
      <c r="R25" s="15" t="s">
        <v>60</v>
      </c>
      <c r="S25" s="15"/>
      <c r="T25" s="15">
        <v>87</v>
      </c>
      <c r="U25" s="15">
        <v>0</v>
      </c>
      <c r="V25" s="15">
        <f t="shared" si="4"/>
        <v>96</v>
      </c>
      <c r="W25" s="106">
        <f>Summary!$C$20*K25+Summary!$C$21*L25+Summary!$C$22*M25+Summary!$C$23*N25+Summary!$C$24*O25+Summary!$C$25*P25+Summary!$C$26*Q25</f>
        <v>1517.96</v>
      </c>
      <c r="X25" t="s">
        <v>72</v>
      </c>
      <c r="Y25">
        <v>87</v>
      </c>
      <c r="Z25">
        <v>87</v>
      </c>
      <c r="AH25" s="5" t="s">
        <v>71</v>
      </c>
      <c r="AI25" t="s">
        <v>73</v>
      </c>
      <c r="AJ25" t="s">
        <v>81</v>
      </c>
    </row>
    <row r="26" spans="1:41" x14ac:dyDescent="0.3">
      <c r="A26">
        <v>23</v>
      </c>
      <c r="B26" s="23">
        <f t="shared" si="0"/>
        <v>216.79794520547944</v>
      </c>
      <c r="C26" s="15">
        <f t="shared" si="2"/>
        <v>963.20205479452056</v>
      </c>
      <c r="D26" s="15">
        <f>D25-K26</f>
        <v>175</v>
      </c>
      <c r="E26" s="15">
        <f t="shared" si="3"/>
        <v>150</v>
      </c>
      <c r="F26" s="15">
        <f t="shared" si="3"/>
        <v>72</v>
      </c>
      <c r="G26" s="15">
        <f>G25-N26</f>
        <v>16.202054794520549</v>
      </c>
      <c r="H26" s="15">
        <f t="shared" si="3"/>
        <v>0</v>
      </c>
      <c r="I26" s="53">
        <f t="shared" si="3"/>
        <v>550</v>
      </c>
      <c r="J26" s="15">
        <f t="shared" si="3"/>
        <v>0</v>
      </c>
      <c r="K26" s="15">
        <v>70</v>
      </c>
      <c r="L26" s="15">
        <v>0</v>
      </c>
      <c r="M26" s="15">
        <v>26</v>
      </c>
      <c r="N26" s="15">
        <v>0</v>
      </c>
      <c r="O26" s="15">
        <v>0</v>
      </c>
      <c r="P26" s="15">
        <v>0</v>
      </c>
      <c r="Q26" s="15">
        <v>0</v>
      </c>
      <c r="R26" s="15" t="s">
        <v>60</v>
      </c>
      <c r="S26" s="15"/>
      <c r="T26" s="15">
        <v>87</v>
      </c>
      <c r="U26" s="15">
        <v>0</v>
      </c>
      <c r="V26" s="15">
        <f t="shared" si="4"/>
        <v>96</v>
      </c>
      <c r="W26" s="106">
        <f>Summary!$C$20*K26+Summary!$C$21*L26+Summary!$C$22*M26+Summary!$C$23*N26+Summary!$C$24*O26+Summary!$C$25*P26+Summary!$C$26*Q26</f>
        <v>1517.96</v>
      </c>
      <c r="X26" t="s">
        <v>72</v>
      </c>
      <c r="Y26">
        <v>87</v>
      </c>
      <c r="Z26">
        <v>87</v>
      </c>
      <c r="AH26" s="5" t="s">
        <v>71</v>
      </c>
      <c r="AI26" t="s">
        <v>73</v>
      </c>
      <c r="AJ26" t="s">
        <v>82</v>
      </c>
    </row>
    <row r="27" spans="1:41" x14ac:dyDescent="0.3">
      <c r="A27">
        <v>24</v>
      </c>
      <c r="B27" s="23">
        <f t="shared" si="0"/>
        <v>312.79794520547944</v>
      </c>
      <c r="C27" s="15">
        <f t="shared" si="2"/>
        <v>867.20205479452056</v>
      </c>
      <c r="D27" s="15">
        <f t="shared" si="3"/>
        <v>105</v>
      </c>
      <c r="E27" s="15">
        <f t="shared" si="3"/>
        <v>150</v>
      </c>
      <c r="F27" s="15">
        <f t="shared" si="3"/>
        <v>46</v>
      </c>
      <c r="G27" s="15">
        <f t="shared" si="3"/>
        <v>16.202054794520549</v>
      </c>
      <c r="H27" s="15">
        <f t="shared" si="3"/>
        <v>0</v>
      </c>
      <c r="I27" s="53">
        <f t="shared" ref="I27:I32" si="5">I26-P27</f>
        <v>550</v>
      </c>
      <c r="J27" s="15">
        <f t="shared" si="3"/>
        <v>0</v>
      </c>
      <c r="K27" s="15">
        <v>70</v>
      </c>
      <c r="L27" s="15">
        <v>0</v>
      </c>
      <c r="M27" s="15">
        <v>26</v>
      </c>
      <c r="N27" s="15">
        <v>0</v>
      </c>
      <c r="O27" s="15">
        <v>0</v>
      </c>
      <c r="P27" s="15">
        <v>0</v>
      </c>
      <c r="Q27" s="15">
        <v>0</v>
      </c>
      <c r="R27" s="15" t="s">
        <v>60</v>
      </c>
      <c r="S27" s="15"/>
      <c r="T27" s="15">
        <v>87</v>
      </c>
      <c r="U27" s="15">
        <v>0</v>
      </c>
      <c r="V27" s="15">
        <f t="shared" si="4"/>
        <v>96</v>
      </c>
      <c r="W27" s="106">
        <f>Summary!$C$20*K27+Summary!$C$21*L27+Summary!$C$22*M27+Summary!$C$23*N27+Summary!$C$24*O27+Summary!$C$25*P27+Summary!$C$26*Q27</f>
        <v>1517.96</v>
      </c>
      <c r="X27" t="s">
        <v>72</v>
      </c>
      <c r="Y27">
        <v>87</v>
      </c>
      <c r="Z27">
        <v>87</v>
      </c>
      <c r="AH27" s="5" t="s">
        <v>80</v>
      </c>
      <c r="AI27" t="s">
        <v>73</v>
      </c>
      <c r="AJ27" t="s">
        <v>83</v>
      </c>
    </row>
    <row r="28" spans="1:41" x14ac:dyDescent="0.3">
      <c r="A28">
        <v>25</v>
      </c>
      <c r="B28" s="23">
        <f t="shared" si="0"/>
        <v>407.79794520547944</v>
      </c>
      <c r="C28" s="15">
        <f t="shared" si="2"/>
        <v>772.20205479452056</v>
      </c>
      <c r="D28" s="15">
        <f t="shared" si="3"/>
        <v>105</v>
      </c>
      <c r="E28" s="15">
        <f t="shared" si="3"/>
        <v>150</v>
      </c>
      <c r="F28" s="15">
        <f t="shared" si="3"/>
        <v>46</v>
      </c>
      <c r="G28" s="15">
        <f t="shared" si="3"/>
        <v>16.202054794520549</v>
      </c>
      <c r="H28" s="15">
        <f t="shared" si="3"/>
        <v>0</v>
      </c>
      <c r="I28" s="60">
        <f t="shared" si="5"/>
        <v>455</v>
      </c>
      <c r="J28" s="15">
        <f t="shared" si="3"/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95</v>
      </c>
      <c r="Q28" s="15">
        <v>0</v>
      </c>
      <c r="R28" s="15" t="s">
        <v>60</v>
      </c>
      <c r="S28" s="15"/>
      <c r="T28" s="15">
        <v>87</v>
      </c>
      <c r="U28" s="15">
        <v>0</v>
      </c>
      <c r="V28" s="15">
        <f t="shared" si="4"/>
        <v>95</v>
      </c>
      <c r="W28" s="106">
        <f>Summary!$C$20*K28+Summary!$C$21*L28+Summary!$C$22*M28+Summary!$C$23*N28+Summary!$C$24*O28+Summary!$C$25*P28+Summary!$C$26*Q28</f>
        <v>948.1</v>
      </c>
      <c r="X28" t="s">
        <v>72</v>
      </c>
      <c r="Y28">
        <v>87</v>
      </c>
      <c r="Z28">
        <v>87</v>
      </c>
      <c r="AI28" t="s">
        <v>73</v>
      </c>
      <c r="AJ28" t="s">
        <v>58</v>
      </c>
    </row>
    <row r="29" spans="1:41" x14ac:dyDescent="0.3">
      <c r="A29">
        <v>26</v>
      </c>
      <c r="B29" s="23">
        <f t="shared" si="0"/>
        <v>502.79794520547944</v>
      </c>
      <c r="C29" s="15">
        <f t="shared" si="2"/>
        <v>677.20205479452056</v>
      </c>
      <c r="D29" s="15">
        <f t="shared" si="3"/>
        <v>105</v>
      </c>
      <c r="E29" s="15">
        <f t="shared" si="3"/>
        <v>150</v>
      </c>
      <c r="F29" s="15">
        <f t="shared" si="3"/>
        <v>46</v>
      </c>
      <c r="G29" s="15">
        <f t="shared" si="3"/>
        <v>16.202054794520549</v>
      </c>
      <c r="H29" s="15">
        <f t="shared" si="3"/>
        <v>0</v>
      </c>
      <c r="I29" s="15">
        <f t="shared" si="5"/>
        <v>360</v>
      </c>
      <c r="J29" s="15">
        <f t="shared" si="3"/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95</v>
      </c>
      <c r="Q29" s="15">
        <v>0</v>
      </c>
      <c r="R29" s="15" t="s">
        <v>60</v>
      </c>
      <c r="S29" s="15"/>
      <c r="T29" s="15">
        <v>12</v>
      </c>
      <c r="U29" s="15">
        <v>0</v>
      </c>
      <c r="V29" s="15">
        <f t="shared" si="4"/>
        <v>95</v>
      </c>
      <c r="W29" s="106">
        <f>Summary!$C$20*K29+Summary!$C$21*L29+Summary!$C$22*M29+Summary!$C$23*N29+Summary!$C$24*O29+Summary!$C$25*P29+Summary!$C$26*Q29</f>
        <v>948.1</v>
      </c>
      <c r="X29" t="s">
        <v>72</v>
      </c>
      <c r="Y29">
        <v>12</v>
      </c>
      <c r="Z29">
        <v>87</v>
      </c>
      <c r="AI29" t="s">
        <v>63</v>
      </c>
      <c r="AJ29" t="s">
        <v>58</v>
      </c>
    </row>
    <row r="30" spans="1:41" s="6" customFormat="1" x14ac:dyDescent="0.3">
      <c r="A30">
        <v>27</v>
      </c>
      <c r="B30" s="23">
        <f t="shared" si="0"/>
        <v>37.797945205479436</v>
      </c>
      <c r="C30" s="15">
        <f t="shared" si="2"/>
        <v>1142.2020547945206</v>
      </c>
      <c r="D30" s="53">
        <f>D29-K30 + 360</f>
        <v>465</v>
      </c>
      <c r="E30" s="15">
        <f t="shared" si="3"/>
        <v>150</v>
      </c>
      <c r="F30" s="15">
        <f t="shared" si="3"/>
        <v>46</v>
      </c>
      <c r="G30" s="53">
        <f>G29-N30 + 200</f>
        <v>216.20205479452056</v>
      </c>
      <c r="H30" s="15">
        <f t="shared" si="3"/>
        <v>0</v>
      </c>
      <c r="I30" s="15">
        <f t="shared" si="5"/>
        <v>265</v>
      </c>
      <c r="J30" s="15">
        <f t="shared" si="3"/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95</v>
      </c>
      <c r="Q30" s="15">
        <v>0</v>
      </c>
      <c r="R30" s="15" t="s">
        <v>54</v>
      </c>
      <c r="S30" s="15"/>
      <c r="T30" s="15">
        <v>95</v>
      </c>
      <c r="U30" s="15">
        <v>0</v>
      </c>
      <c r="V30" s="15">
        <f t="shared" si="4"/>
        <v>95</v>
      </c>
      <c r="W30" s="106">
        <f>Summary!$C$20*K30+Summary!$C$21*L30+Summary!$C$22*M30+Summary!$C$23*N30+Summary!$C$24*O30+Summary!$C$25*P30+Summary!$C$26*Q30</f>
        <v>948.1</v>
      </c>
      <c r="X30" t="s">
        <v>72</v>
      </c>
      <c r="Y30">
        <v>95</v>
      </c>
      <c r="Z30">
        <v>95</v>
      </c>
      <c r="AA30"/>
      <c r="AB30"/>
      <c r="AC30"/>
      <c r="AD30"/>
      <c r="AE30"/>
      <c r="AF30"/>
      <c r="AG30"/>
      <c r="AH30"/>
      <c r="AI30" t="s">
        <v>63</v>
      </c>
      <c r="AJ30" t="s">
        <v>58</v>
      </c>
      <c r="AK30"/>
      <c r="AL30"/>
      <c r="AM30"/>
      <c r="AN30"/>
      <c r="AO30"/>
    </row>
    <row r="31" spans="1:41" x14ac:dyDescent="0.3">
      <c r="A31">
        <v>28</v>
      </c>
      <c r="B31" s="23">
        <f t="shared" si="0"/>
        <v>132.79794520547944</v>
      </c>
      <c r="C31" s="15">
        <f t="shared" si="2"/>
        <v>1047.2020547945206</v>
      </c>
      <c r="D31" s="53">
        <f t="shared" si="3"/>
        <v>465</v>
      </c>
      <c r="E31" s="15">
        <f t="shared" si="3"/>
        <v>150</v>
      </c>
      <c r="F31" s="15">
        <f t="shared" si="3"/>
        <v>46</v>
      </c>
      <c r="G31" s="53">
        <f t="shared" si="3"/>
        <v>216.20205479452056</v>
      </c>
      <c r="H31" s="15">
        <f t="shared" si="3"/>
        <v>0</v>
      </c>
      <c r="I31" s="15">
        <f t="shared" si="5"/>
        <v>170</v>
      </c>
      <c r="J31" s="15">
        <f t="shared" si="3"/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95</v>
      </c>
      <c r="Q31" s="15">
        <v>0</v>
      </c>
      <c r="R31" s="15" t="s">
        <v>54</v>
      </c>
      <c r="S31" s="15"/>
      <c r="T31" s="15">
        <v>55</v>
      </c>
      <c r="U31" s="15">
        <v>0</v>
      </c>
      <c r="V31" s="15">
        <f t="shared" si="4"/>
        <v>95</v>
      </c>
      <c r="W31" s="106">
        <f>Summary!$C$20*K31+Summary!$C$21*L31+Summary!$C$22*M31+Summary!$C$23*N31+Summary!$C$24*O31+Summary!$C$25*P31+Summary!$C$26*Q31</f>
        <v>948.1</v>
      </c>
      <c r="X31" t="s">
        <v>72</v>
      </c>
      <c r="Y31">
        <v>55</v>
      </c>
      <c r="Z31">
        <v>95</v>
      </c>
      <c r="AI31" t="s">
        <v>71</v>
      </c>
      <c r="AJ31" t="s">
        <v>63</v>
      </c>
    </row>
    <row r="32" spans="1:41" x14ac:dyDescent="0.3">
      <c r="A32">
        <v>29</v>
      </c>
      <c r="B32" s="23">
        <f t="shared" si="0"/>
        <v>227.79794520547944</v>
      </c>
      <c r="C32" s="15">
        <f t="shared" si="2"/>
        <v>952.20205479452056</v>
      </c>
      <c r="D32" s="53">
        <f t="shared" si="3"/>
        <v>465</v>
      </c>
      <c r="E32" s="15">
        <f t="shared" si="3"/>
        <v>150</v>
      </c>
      <c r="F32" s="15">
        <f t="shared" si="3"/>
        <v>46</v>
      </c>
      <c r="G32" s="53">
        <f t="shared" si="3"/>
        <v>216.20205479452056</v>
      </c>
      <c r="H32" s="15">
        <f t="shared" si="3"/>
        <v>0</v>
      </c>
      <c r="I32" s="15">
        <f t="shared" si="5"/>
        <v>75</v>
      </c>
      <c r="J32" s="15">
        <f t="shared" si="3"/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95</v>
      </c>
      <c r="Q32" s="15">
        <v>0</v>
      </c>
      <c r="R32" s="15" t="s">
        <v>75</v>
      </c>
      <c r="S32" s="15"/>
      <c r="T32" s="15">
        <v>95</v>
      </c>
      <c r="U32" s="15">
        <v>0</v>
      </c>
      <c r="V32" s="15">
        <f t="shared" si="4"/>
        <v>95</v>
      </c>
      <c r="W32" s="106">
        <f>Summary!$C$20*K32+Summary!$C$21*L32+Summary!$C$22*M32+Summary!$C$23*N32+Summary!$C$24*O32+Summary!$C$25*P32+Summary!$C$26*Q32</f>
        <v>948.1</v>
      </c>
      <c r="X32" t="s">
        <v>72</v>
      </c>
      <c r="Y32">
        <v>95</v>
      </c>
      <c r="Z32">
        <v>95</v>
      </c>
      <c r="AI32" t="s">
        <v>71</v>
      </c>
      <c r="AJ32" t="s">
        <v>63</v>
      </c>
    </row>
    <row r="33" spans="1:41" x14ac:dyDescent="0.3">
      <c r="A33">
        <v>30</v>
      </c>
      <c r="B33" s="23">
        <f t="shared" si="0"/>
        <v>322.79794520547944</v>
      </c>
      <c r="C33" s="15">
        <f t="shared" si="2"/>
        <v>857.20205479452056</v>
      </c>
      <c r="D33" s="53">
        <f t="shared" si="3"/>
        <v>450.4</v>
      </c>
      <c r="E33" s="15">
        <f t="shared" si="3"/>
        <v>150</v>
      </c>
      <c r="F33" s="15">
        <f t="shared" si="3"/>
        <v>46</v>
      </c>
      <c r="G33" s="53">
        <f t="shared" si="3"/>
        <v>210.80205479452056</v>
      </c>
      <c r="H33" s="15">
        <f t="shared" si="3"/>
        <v>0</v>
      </c>
      <c r="I33" s="15">
        <f t="shared" si="3"/>
        <v>0</v>
      </c>
      <c r="J33" s="15">
        <f t="shared" si="3"/>
        <v>0</v>
      </c>
      <c r="K33" s="15">
        <f>(95-75)*0.73</f>
        <v>14.6</v>
      </c>
      <c r="L33" s="15">
        <v>0</v>
      </c>
      <c r="M33" s="15">
        <v>0</v>
      </c>
      <c r="N33" s="15">
        <f xml:space="preserve"> (95-75)*0.27</f>
        <v>5.4</v>
      </c>
      <c r="O33" s="15">
        <v>0</v>
      </c>
      <c r="P33" s="15">
        <v>75</v>
      </c>
      <c r="Q33" s="15">
        <v>0</v>
      </c>
      <c r="R33" s="15" t="s">
        <v>75</v>
      </c>
      <c r="S33" s="15"/>
      <c r="T33" s="15">
        <v>95</v>
      </c>
      <c r="U33" s="15">
        <v>0</v>
      </c>
      <c r="V33" s="15">
        <f t="shared" si="4"/>
        <v>95</v>
      </c>
      <c r="W33" s="106">
        <f>Summary!$C$20*K33+Summary!$C$21*L33+Summary!$C$22*M33+Summary!$C$23*N33+Summary!$C$24*O33+Summary!$C$25*P33+Summary!$C$26*Q33</f>
        <v>1083.806</v>
      </c>
      <c r="X33" t="s">
        <v>72</v>
      </c>
      <c r="Y33">
        <v>95</v>
      </c>
      <c r="Z33">
        <v>95</v>
      </c>
      <c r="AI33" t="s">
        <v>71</v>
      </c>
      <c r="AJ33" t="s">
        <v>71</v>
      </c>
    </row>
    <row r="34" spans="1:41" x14ac:dyDescent="0.3">
      <c r="A34">
        <v>31</v>
      </c>
      <c r="B34" s="23">
        <f t="shared" si="0"/>
        <v>417.79794520547944</v>
      </c>
      <c r="C34" s="15">
        <f t="shared" si="2"/>
        <v>762.20205479452056</v>
      </c>
      <c r="D34" s="60">
        <f t="shared" si="3"/>
        <v>381.04999999999995</v>
      </c>
      <c r="E34" s="15">
        <f t="shared" si="3"/>
        <v>150</v>
      </c>
      <c r="F34" s="15">
        <f t="shared" si="3"/>
        <v>46</v>
      </c>
      <c r="G34" s="60">
        <f t="shared" si="3"/>
        <v>185.15205479452055</v>
      </c>
      <c r="H34" s="15">
        <f t="shared" si="3"/>
        <v>0</v>
      </c>
      <c r="I34" s="15">
        <f t="shared" si="3"/>
        <v>0</v>
      </c>
      <c r="J34" s="15">
        <f t="shared" si="3"/>
        <v>0</v>
      </c>
      <c r="K34" s="15">
        <f t="shared" ref="K34:K35" si="6">0.73*95</f>
        <v>69.349999999999994</v>
      </c>
      <c r="L34" s="15">
        <v>0</v>
      </c>
      <c r="M34" s="15">
        <v>0</v>
      </c>
      <c r="N34" s="15">
        <f t="shared" ref="N34:N35" si="7">0.27*95</f>
        <v>25.650000000000002</v>
      </c>
      <c r="O34" s="15">
        <v>0</v>
      </c>
      <c r="P34" s="15">
        <v>0</v>
      </c>
      <c r="Q34" s="15">
        <v>0</v>
      </c>
      <c r="R34" s="15"/>
      <c r="S34" s="15"/>
      <c r="T34" s="15"/>
      <c r="U34" s="15"/>
      <c r="V34" s="15">
        <f t="shared" si="4"/>
        <v>95</v>
      </c>
      <c r="W34" s="106">
        <f>Summary!$C$20*K34+Summary!$C$21*L34+Summary!$C$22*M34+Summary!$C$23*N34+Summary!$C$24*O34+Summary!$C$25*P34+Summary!$C$26*Q34</f>
        <v>1592.7035000000001</v>
      </c>
      <c r="AI34" t="s">
        <v>84</v>
      </c>
      <c r="AJ34" t="s">
        <v>71</v>
      </c>
    </row>
    <row r="35" spans="1:41" x14ac:dyDescent="0.3">
      <c r="A35">
        <v>32</v>
      </c>
      <c r="B35" s="23">
        <f t="shared" si="0"/>
        <v>512.79794520547955</v>
      </c>
      <c r="C35" s="15">
        <f t="shared" si="2"/>
        <v>667.20205479452045</v>
      </c>
      <c r="D35" s="15">
        <f t="shared" si="3"/>
        <v>311.69999999999993</v>
      </c>
      <c r="E35" s="15">
        <f t="shared" si="3"/>
        <v>150</v>
      </c>
      <c r="F35" s="15">
        <f t="shared" si="3"/>
        <v>46</v>
      </c>
      <c r="G35" s="15">
        <f t="shared" si="3"/>
        <v>159.50205479452055</v>
      </c>
      <c r="H35" s="15">
        <f t="shared" si="3"/>
        <v>0</v>
      </c>
      <c r="I35" s="15">
        <f t="shared" si="3"/>
        <v>0</v>
      </c>
      <c r="J35" s="15">
        <f t="shared" si="3"/>
        <v>0</v>
      </c>
      <c r="K35" s="15">
        <f t="shared" si="6"/>
        <v>69.349999999999994</v>
      </c>
      <c r="L35" s="15">
        <v>0</v>
      </c>
      <c r="M35" s="15">
        <v>0</v>
      </c>
      <c r="N35" s="15">
        <f t="shared" si="7"/>
        <v>25.650000000000002</v>
      </c>
      <c r="O35" s="15">
        <v>0</v>
      </c>
      <c r="P35" s="15">
        <v>0</v>
      </c>
      <c r="Q35" s="15">
        <v>0</v>
      </c>
      <c r="R35" s="15"/>
      <c r="S35" s="15"/>
      <c r="T35" s="15"/>
      <c r="U35" s="15"/>
      <c r="V35" s="15">
        <f t="shared" si="4"/>
        <v>95</v>
      </c>
      <c r="W35" s="106">
        <f>Summary!$C$20*K35+Summary!$C$21*L35+Summary!$C$22*M35+Summary!$C$23*N35+Summary!$C$24*O35+Summary!$C$25*P35+Summary!$C$26*Q35</f>
        <v>1592.7035000000001</v>
      </c>
      <c r="AJ35" t="s">
        <v>71</v>
      </c>
    </row>
    <row r="36" spans="1:41" s="6" customFormat="1" x14ac:dyDescent="0.3">
      <c r="A36">
        <v>33</v>
      </c>
      <c r="B36" s="23">
        <f t="shared" si="0"/>
        <v>77.797945205479664</v>
      </c>
      <c r="C36" s="15">
        <f t="shared" si="2"/>
        <v>1102.2020547945203</v>
      </c>
      <c r="D36" s="15">
        <f t="shared" si="3"/>
        <v>242.34999999999994</v>
      </c>
      <c r="E36" s="15">
        <f t="shared" si="3"/>
        <v>150</v>
      </c>
      <c r="F36" s="15">
        <f t="shared" si="3"/>
        <v>46</v>
      </c>
      <c r="G36" s="15">
        <f t="shared" si="3"/>
        <v>133.85205479452054</v>
      </c>
      <c r="H36" s="53">
        <f>H35-O36 + 150</f>
        <v>150</v>
      </c>
      <c r="I36" s="53">
        <f>I35-P36 + 100</f>
        <v>100</v>
      </c>
      <c r="J36" s="53">
        <f>J35-Q36 + 280</f>
        <v>280</v>
      </c>
      <c r="K36" s="15">
        <v>69.349999999999994</v>
      </c>
      <c r="L36" s="15">
        <v>0</v>
      </c>
      <c r="M36" s="15">
        <v>0</v>
      </c>
      <c r="N36" s="15">
        <v>25.65</v>
      </c>
      <c r="O36" s="15">
        <v>0</v>
      </c>
      <c r="P36" s="15">
        <v>0</v>
      </c>
      <c r="Q36" s="15">
        <v>0</v>
      </c>
      <c r="R36" s="15"/>
      <c r="S36" s="15"/>
      <c r="T36" s="15"/>
      <c r="U36" s="15"/>
      <c r="V36" s="15">
        <f t="shared" si="4"/>
        <v>95</v>
      </c>
      <c r="W36" s="106">
        <f>Summary!$C$20*K36+Summary!$C$21*L36+Summary!$C$22*M36+Summary!$C$23*N36+Summary!$C$24*O36+Summary!$C$25*P36+Summary!$C$26*Q36</f>
        <v>1592.7034999999998</v>
      </c>
      <c r="X36"/>
      <c r="Y36"/>
      <c r="Z36"/>
      <c r="AA36"/>
      <c r="AB36"/>
      <c r="AC36"/>
      <c r="AD36"/>
      <c r="AE36"/>
      <c r="AF36"/>
      <c r="AG36"/>
      <c r="AH36"/>
      <c r="AI36"/>
      <c r="AJ36" t="s">
        <v>126</v>
      </c>
      <c r="AK36"/>
      <c r="AL36"/>
      <c r="AM36"/>
      <c r="AN36"/>
      <c r="AO36"/>
    </row>
    <row r="37" spans="1:41" x14ac:dyDescent="0.3">
      <c r="A37">
        <v>34</v>
      </c>
      <c r="B37" s="23">
        <f t="shared" si="0"/>
        <v>172.79794520547955</v>
      </c>
      <c r="C37" s="15">
        <f t="shared" si="2"/>
        <v>1007.2020547945204</v>
      </c>
      <c r="D37" s="15">
        <f t="shared" si="3"/>
        <v>173.34999999999994</v>
      </c>
      <c r="E37" s="15">
        <f t="shared" si="3"/>
        <v>150</v>
      </c>
      <c r="F37" s="15">
        <f t="shared" si="3"/>
        <v>46</v>
      </c>
      <c r="G37" s="15">
        <f t="shared" si="3"/>
        <v>107.85205479452054</v>
      </c>
      <c r="H37" s="53">
        <f t="shared" si="3"/>
        <v>150</v>
      </c>
      <c r="I37" s="53">
        <f t="shared" si="3"/>
        <v>100</v>
      </c>
      <c r="J37" s="53">
        <f t="shared" si="3"/>
        <v>280</v>
      </c>
      <c r="K37" s="15">
        <v>69</v>
      </c>
      <c r="L37" s="15">
        <v>0</v>
      </c>
      <c r="M37" s="15">
        <v>0</v>
      </c>
      <c r="N37" s="15">
        <v>26</v>
      </c>
      <c r="O37" s="15">
        <v>0</v>
      </c>
      <c r="P37" s="15">
        <v>0</v>
      </c>
      <c r="Q37" s="15">
        <v>0</v>
      </c>
      <c r="R37" s="15"/>
      <c r="S37" s="15"/>
      <c r="T37" s="15"/>
      <c r="U37" s="15"/>
      <c r="V37" s="15">
        <f>SUM(K37:Q37)</f>
        <v>95</v>
      </c>
      <c r="W37" s="106">
        <f>Summary!$C$20*K37+Summary!$C$21*L37+Summary!$C$22*M37+Summary!$C$23*N37+Summary!$C$24*O37+Summary!$C$25*P37+Summary!$C$26*Q37</f>
        <v>1593.8899999999999</v>
      </c>
    </row>
    <row r="38" spans="1:41" x14ac:dyDescent="0.3">
      <c r="A38">
        <v>35</v>
      </c>
      <c r="B38" s="23">
        <f t="shared" si="0"/>
        <v>267.79794520547955</v>
      </c>
      <c r="C38" s="15">
        <f t="shared" si="2"/>
        <v>912.20205479452045</v>
      </c>
      <c r="D38" s="15">
        <f t="shared" si="3"/>
        <v>104.34999999999994</v>
      </c>
      <c r="E38" s="15">
        <f t="shared" si="3"/>
        <v>150</v>
      </c>
      <c r="F38" s="15">
        <f t="shared" si="3"/>
        <v>46</v>
      </c>
      <c r="G38" s="15">
        <f t="shared" si="3"/>
        <v>81.852054794520541</v>
      </c>
      <c r="H38" s="53">
        <f t="shared" si="3"/>
        <v>150</v>
      </c>
      <c r="I38" s="53">
        <f t="shared" si="3"/>
        <v>100</v>
      </c>
      <c r="J38" s="53">
        <f t="shared" si="3"/>
        <v>280</v>
      </c>
      <c r="K38" s="15">
        <v>69</v>
      </c>
      <c r="L38" s="15">
        <v>0</v>
      </c>
      <c r="M38" s="15">
        <v>0</v>
      </c>
      <c r="N38" s="15">
        <v>26</v>
      </c>
      <c r="O38" s="15">
        <v>0</v>
      </c>
      <c r="P38" s="15">
        <v>0</v>
      </c>
      <c r="Q38" s="15">
        <v>0</v>
      </c>
      <c r="R38" s="15"/>
      <c r="S38" s="15"/>
      <c r="T38" s="15"/>
      <c r="U38" s="15"/>
      <c r="V38" s="15">
        <f t="shared" si="4"/>
        <v>95</v>
      </c>
      <c r="W38" s="106">
        <f>Summary!$C$20*K38+Summary!$C$21*L38+Summary!$C$22*M38+Summary!$C$23*N38+Summary!$C$24*O38+Summary!$C$25*P38+Summary!$C$26*Q38</f>
        <v>1593.8899999999999</v>
      </c>
    </row>
    <row r="39" spans="1:41" x14ac:dyDescent="0.3">
      <c r="A39">
        <v>36</v>
      </c>
      <c r="B39" s="23">
        <f t="shared" si="0"/>
        <v>362.79794520547955</v>
      </c>
      <c r="C39" s="15">
        <f t="shared" si="2"/>
        <v>817.20205479452045</v>
      </c>
      <c r="D39" s="15">
        <f t="shared" si="3"/>
        <v>35.349999999999937</v>
      </c>
      <c r="E39" s="15">
        <f t="shared" si="3"/>
        <v>150</v>
      </c>
      <c r="F39" s="15">
        <f t="shared" si="3"/>
        <v>46</v>
      </c>
      <c r="G39" s="15">
        <f t="shared" si="3"/>
        <v>55.852054794520541</v>
      </c>
      <c r="H39" s="53">
        <f t="shared" si="3"/>
        <v>150</v>
      </c>
      <c r="I39" s="53">
        <f t="shared" si="3"/>
        <v>100</v>
      </c>
      <c r="J39" s="53">
        <f t="shared" si="3"/>
        <v>280</v>
      </c>
      <c r="K39" s="15">
        <v>69</v>
      </c>
      <c r="L39" s="15">
        <v>0</v>
      </c>
      <c r="M39" s="15">
        <v>0</v>
      </c>
      <c r="N39" s="15">
        <v>26</v>
      </c>
      <c r="O39" s="15">
        <v>0</v>
      </c>
      <c r="P39" s="15">
        <v>0</v>
      </c>
      <c r="Q39" s="15">
        <v>0</v>
      </c>
      <c r="R39" s="15"/>
      <c r="S39" s="15"/>
      <c r="T39" s="15"/>
      <c r="U39" s="15"/>
      <c r="V39" s="15">
        <f t="shared" si="4"/>
        <v>95</v>
      </c>
      <c r="W39" s="106">
        <f>Summary!$C$20*K39+Summary!$C$21*L39+Summary!$C$22*M39+Summary!$C$23*N39+Summary!$C$24*O39+Summary!$C$25*P39+Summary!$C$26*Q39</f>
        <v>1593.8899999999999</v>
      </c>
    </row>
    <row r="40" spans="1:41" x14ac:dyDescent="0.3">
      <c r="A40">
        <v>37</v>
      </c>
      <c r="B40" s="23">
        <f t="shared" si="0"/>
        <v>458.1130136986302</v>
      </c>
      <c r="C40" s="15">
        <f t="shared" si="2"/>
        <v>721.8869863013698</v>
      </c>
      <c r="D40" s="15">
        <f t="shared" si="3"/>
        <v>0.34999999999993747</v>
      </c>
      <c r="E40" s="15">
        <f t="shared" si="3"/>
        <v>150</v>
      </c>
      <c r="F40" s="15">
        <f t="shared" si="3"/>
        <v>46</v>
      </c>
      <c r="G40" s="15">
        <f t="shared" si="3"/>
        <v>42.536986301369858</v>
      </c>
      <c r="H40" s="60">
        <f t="shared" si="3"/>
        <v>150</v>
      </c>
      <c r="I40" s="60">
        <f t="shared" si="3"/>
        <v>100</v>
      </c>
      <c r="J40" s="60">
        <f t="shared" si="3"/>
        <v>233</v>
      </c>
      <c r="K40" s="15">
        <v>35</v>
      </c>
      <c r="L40" s="15">
        <v>0</v>
      </c>
      <c r="M40" s="15">
        <v>0</v>
      </c>
      <c r="N40" s="15">
        <f>36/73*27</f>
        <v>13.315068493150685</v>
      </c>
      <c r="O40" s="15">
        <v>0</v>
      </c>
      <c r="P40" s="15">
        <v>0</v>
      </c>
      <c r="Q40" s="15">
        <f>95-48</f>
        <v>47</v>
      </c>
      <c r="R40" s="15"/>
      <c r="S40" s="15"/>
      <c r="T40" s="15"/>
      <c r="U40" s="15"/>
      <c r="V40" s="15">
        <f t="shared" si="4"/>
        <v>95.315068493150676</v>
      </c>
      <c r="W40" s="106">
        <f>Summary!$C$20*K40+Summary!$C$21*L40+Summary!$C$22*M40+Summary!$C$23*N40+Summary!$C$24*O40+Summary!$C$25*P40+Summary!$C$26*Q40</f>
        <v>1279.5219178082193</v>
      </c>
    </row>
    <row r="41" spans="1:41" x14ac:dyDescent="0.3">
      <c r="A41">
        <v>38</v>
      </c>
      <c r="B41" s="23">
        <f t="shared" si="0"/>
        <v>553.1130136986302</v>
      </c>
      <c r="C41" s="15">
        <f t="shared" si="2"/>
        <v>626.8869863013698</v>
      </c>
      <c r="D41" s="15">
        <f t="shared" si="3"/>
        <v>0.34999999999993747</v>
      </c>
      <c r="E41" s="15">
        <f t="shared" si="3"/>
        <v>150</v>
      </c>
      <c r="F41" s="15">
        <f t="shared" si="3"/>
        <v>46</v>
      </c>
      <c r="G41" s="15">
        <f t="shared" si="3"/>
        <v>42.536986301369858</v>
      </c>
      <c r="H41" s="15">
        <f t="shared" si="3"/>
        <v>150</v>
      </c>
      <c r="I41" s="15">
        <f t="shared" si="3"/>
        <v>100</v>
      </c>
      <c r="J41" s="15">
        <f t="shared" si="3"/>
        <v>138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95</v>
      </c>
      <c r="R41" s="15"/>
      <c r="S41" s="15"/>
      <c r="T41" s="15"/>
      <c r="U41" s="15"/>
      <c r="V41" s="15">
        <f t="shared" si="4"/>
        <v>95</v>
      </c>
      <c r="W41" s="106">
        <f>Summary!$C$20*K41+Summary!$C$21*L41+Summary!$C$22*M41+Summary!$C$23*N41+Summary!$C$24*O41+Summary!$C$25*P41+Summary!$C$26*Q41</f>
        <v>947.15000000000009</v>
      </c>
    </row>
    <row r="42" spans="1:41" x14ac:dyDescent="0.3">
      <c r="A42">
        <v>39</v>
      </c>
      <c r="B42" s="23">
        <f t="shared" si="0"/>
        <v>648.1130136986302</v>
      </c>
      <c r="C42" s="15">
        <f t="shared" si="2"/>
        <v>531.8869863013698</v>
      </c>
      <c r="D42" s="15">
        <f t="shared" si="3"/>
        <v>0.34999999999993747</v>
      </c>
      <c r="E42" s="15">
        <f t="shared" si="3"/>
        <v>150</v>
      </c>
      <c r="F42" s="65">
        <f t="shared" si="3"/>
        <v>-11</v>
      </c>
      <c r="G42" s="15">
        <f t="shared" si="3"/>
        <v>42.536986301369858</v>
      </c>
      <c r="H42" s="15">
        <f t="shared" si="3"/>
        <v>112</v>
      </c>
      <c r="I42" s="15">
        <f t="shared" si="3"/>
        <v>100</v>
      </c>
      <c r="J42" s="15">
        <f t="shared" si="3"/>
        <v>138</v>
      </c>
      <c r="K42" s="15">
        <v>0</v>
      </c>
      <c r="L42" s="15">
        <v>0</v>
      </c>
      <c r="M42" s="15">
        <f>95*0.6</f>
        <v>57</v>
      </c>
      <c r="N42" s="15">
        <v>0</v>
      </c>
      <c r="O42" s="15">
        <f>0.4*95</f>
        <v>38</v>
      </c>
      <c r="P42" s="15">
        <v>0</v>
      </c>
      <c r="Q42" s="15">
        <v>0</v>
      </c>
      <c r="R42" s="15"/>
      <c r="S42" s="15"/>
      <c r="T42" s="15"/>
      <c r="U42" s="15"/>
      <c r="V42" s="15">
        <f t="shared" si="4"/>
        <v>95</v>
      </c>
      <c r="W42" s="106">
        <f>Summary!$C$20*K42+Summary!$C$21*L42+Summary!$C$22*M42+Summary!$C$23*N42+Summary!$C$24*O42+Summary!$C$25*P42+Summary!$C$26*Q42</f>
        <v>1320.69</v>
      </c>
    </row>
    <row r="43" spans="1:41" x14ac:dyDescent="0.3">
      <c r="A43">
        <v>40</v>
      </c>
      <c r="B43" s="23">
        <f t="shared" si="0"/>
        <v>743.1130136986302</v>
      </c>
      <c r="C43" s="15">
        <f t="shared" si="2"/>
        <v>436.8869863013698</v>
      </c>
      <c r="D43" s="15">
        <f t="shared" si="3"/>
        <v>0.34999999999993747</v>
      </c>
      <c r="E43" s="15">
        <f t="shared" si="3"/>
        <v>150</v>
      </c>
      <c r="F43" s="65">
        <f t="shared" si="3"/>
        <v>-68</v>
      </c>
      <c r="G43" s="15">
        <f t="shared" si="3"/>
        <v>42.536986301369858</v>
      </c>
      <c r="H43" s="15">
        <f t="shared" si="3"/>
        <v>74</v>
      </c>
      <c r="I43" s="15">
        <f t="shared" si="3"/>
        <v>100</v>
      </c>
      <c r="J43" s="15">
        <f t="shared" si="3"/>
        <v>138</v>
      </c>
      <c r="K43" s="15">
        <v>0</v>
      </c>
      <c r="L43" s="15">
        <v>0</v>
      </c>
      <c r="M43" s="15">
        <v>57</v>
      </c>
      <c r="N43" s="15">
        <v>0</v>
      </c>
      <c r="O43" s="15">
        <v>38</v>
      </c>
      <c r="P43" s="15">
        <v>0</v>
      </c>
      <c r="Q43" s="15">
        <v>0</v>
      </c>
      <c r="R43" s="15"/>
      <c r="S43" s="15"/>
      <c r="T43" s="15"/>
      <c r="U43" s="15"/>
      <c r="V43" s="15">
        <f t="shared" si="4"/>
        <v>95</v>
      </c>
      <c r="W43" s="106">
        <f>Summary!$C$20*K43+Summary!$C$21*L43+Summary!$C$22*M43+Summary!$C$23*N43+Summary!$C$24*O43+Summary!$C$25*P43+Summary!$C$26*Q43</f>
        <v>1320.69</v>
      </c>
    </row>
    <row r="44" spans="1:41" x14ac:dyDescent="0.3">
      <c r="B44" s="23"/>
      <c r="C44" s="15"/>
      <c r="D44" s="15"/>
      <c r="E44" s="15"/>
      <c r="F44" s="6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09">
        <f>SUM(W4:W43)</f>
        <v>46835.400883561641</v>
      </c>
    </row>
    <row r="45" spans="1:41" x14ac:dyDescent="0.3">
      <c r="Q45" t="s">
        <v>86</v>
      </c>
      <c r="V45" s="113">
        <f>AVERAGE(V4:V33)</f>
        <v>85.759931506849327</v>
      </c>
      <c r="W45" t="s">
        <v>87</v>
      </c>
    </row>
    <row r="46" spans="1:41" x14ac:dyDescent="0.3">
      <c r="Q46" t="s">
        <v>88</v>
      </c>
      <c r="V46" s="113">
        <f>AVERAGE(V4:V43)</f>
        <v>88.077825342465758</v>
      </c>
      <c r="W46" t="s">
        <v>87</v>
      </c>
    </row>
    <row r="47" spans="1:41" x14ac:dyDescent="0.3">
      <c r="W47" s="28"/>
    </row>
    <row r="48" spans="1:41" x14ac:dyDescent="0.3">
      <c r="Q48" t="s">
        <v>89</v>
      </c>
      <c r="V48" s="118">
        <f>SUM(V4:V43)</f>
        <v>3523.1130136986303</v>
      </c>
      <c r="W48" t="s">
        <v>90</v>
      </c>
    </row>
    <row r="49" spans="17:32" x14ac:dyDescent="0.3">
      <c r="Q49" t="s">
        <v>91</v>
      </c>
      <c r="V49">
        <f>C3</f>
        <v>1050</v>
      </c>
      <c r="W49" t="s">
        <v>90</v>
      </c>
    </row>
    <row r="50" spans="17:32" x14ac:dyDescent="0.3">
      <c r="Q50" t="s">
        <v>92</v>
      </c>
      <c r="V50">
        <v>2910</v>
      </c>
      <c r="W50" t="s">
        <v>90</v>
      </c>
    </row>
    <row r="51" spans="17:32" x14ac:dyDescent="0.3">
      <c r="Q51" t="s">
        <v>93</v>
      </c>
      <c r="V51">
        <f>C45</f>
        <v>0</v>
      </c>
      <c r="W51" t="s">
        <v>90</v>
      </c>
      <c r="AF51">
        <f>V49+V50</f>
        <v>3960</v>
      </c>
    </row>
    <row r="52" spans="17:32" x14ac:dyDescent="0.3">
      <c r="AF52">
        <f>AF51-V48</f>
        <v>436.88698630136969</v>
      </c>
    </row>
    <row r="54" spans="17:32" x14ac:dyDescent="0.3">
      <c r="Q54" t="s">
        <v>94</v>
      </c>
      <c r="V54" s="27">
        <v>10</v>
      </c>
      <c r="W54" t="s">
        <v>95</v>
      </c>
    </row>
    <row r="56" spans="17:32" x14ac:dyDescent="0.3">
      <c r="W56" s="15"/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D155-B82C-4BFA-AF25-21AD637A41C4}">
  <dimension ref="A1:AL56"/>
  <sheetViews>
    <sheetView zoomScale="70" zoomScaleNormal="80" workbookViewId="0">
      <pane xSplit="1" ySplit="2" topLeftCell="B15" activePane="bottomRight" state="frozen"/>
      <selection pane="topRight" activeCell="B1" sqref="B1"/>
      <selection pane="bottomLeft" activeCell="A2" sqref="A2"/>
      <selection pane="bottomRight" activeCell="W45" sqref="W45:W54"/>
    </sheetView>
  </sheetViews>
  <sheetFormatPr defaultRowHeight="14.4" x14ac:dyDescent="0.3"/>
  <cols>
    <col min="1" max="1" width="7.33203125" customWidth="1"/>
    <col min="2" max="2" width="15.6640625" customWidth="1"/>
    <col min="3" max="3" width="9.6640625" customWidth="1"/>
    <col min="4" max="4" width="14.33203125" bestFit="1" customWidth="1"/>
    <col min="5" max="5" width="12" bestFit="1" customWidth="1"/>
    <col min="6" max="7" width="12.109375" bestFit="1" customWidth="1"/>
    <col min="8" max="8" width="11.5546875" bestFit="1" customWidth="1"/>
    <col min="9" max="10" width="11.33203125" bestFit="1" customWidth="1"/>
    <col min="11" max="16" width="11.44140625" customWidth="1"/>
    <col min="17" max="17" width="12.33203125" customWidth="1"/>
    <col min="18" max="20" width="15.6640625" hidden="1" customWidth="1"/>
    <col min="21" max="21" width="6.33203125" hidden="1" customWidth="1"/>
    <col min="22" max="22" width="12" customWidth="1"/>
    <col min="23" max="23" width="12.88671875" customWidth="1"/>
    <col min="24" max="26" width="15.6640625" hidden="1" customWidth="1"/>
    <col min="27" max="27" width="8.6640625" hidden="1" customWidth="1"/>
    <col min="28" max="31" width="9.109375" hidden="1" customWidth="1"/>
    <col min="32" max="32" width="16" bestFit="1" customWidth="1"/>
    <col min="33" max="33" width="21.6640625" bestFit="1" customWidth="1"/>
    <col min="34" max="34" width="27.33203125" customWidth="1"/>
    <col min="35" max="36" width="32.109375" customWidth="1"/>
    <col min="37" max="37" width="20" customWidth="1"/>
  </cols>
  <sheetData>
    <row r="1" spans="1:38" x14ac:dyDescent="0.3">
      <c r="B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38" ht="28.8" x14ac:dyDescent="0.3">
      <c r="A2" s="1" t="s">
        <v>16</v>
      </c>
      <c r="B2" s="7" t="s">
        <v>17</v>
      </c>
      <c r="C2" s="7" t="s">
        <v>109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7" t="s">
        <v>209</v>
      </c>
      <c r="X2" s="1" t="s">
        <v>38</v>
      </c>
      <c r="Y2" s="1" t="s">
        <v>39</v>
      </c>
      <c r="Z2" s="1" t="s">
        <v>40</v>
      </c>
      <c r="AA2" s="2" t="s">
        <v>41</v>
      </c>
      <c r="AB2" s="2" t="s">
        <v>42</v>
      </c>
      <c r="AC2" s="2" t="s">
        <v>43</v>
      </c>
      <c r="AD2" s="2" t="s">
        <v>44</v>
      </c>
      <c r="AE2" s="2" t="s">
        <v>45</v>
      </c>
      <c r="AF2" s="8" t="s">
        <v>46</v>
      </c>
      <c r="AG2" s="8" t="s">
        <v>47</v>
      </c>
      <c r="AH2" s="8" t="s">
        <v>48</v>
      </c>
      <c r="AI2" s="8" t="s">
        <v>49</v>
      </c>
      <c r="AJ2" s="8" t="s">
        <v>50</v>
      </c>
      <c r="AK2" s="2" t="s">
        <v>51</v>
      </c>
      <c r="AL2" s="2" t="s">
        <v>52</v>
      </c>
    </row>
    <row r="3" spans="1:38" x14ac:dyDescent="0.3">
      <c r="A3" s="5">
        <v>0</v>
      </c>
      <c r="B3" s="23">
        <f>1180-C3</f>
        <v>130</v>
      </c>
      <c r="C3" s="5">
        <f>SUM(D3:J3)</f>
        <v>1050</v>
      </c>
      <c r="D3" s="5">
        <v>350</v>
      </c>
      <c r="E3" s="5">
        <v>0</v>
      </c>
      <c r="F3" s="5">
        <v>150</v>
      </c>
      <c r="G3" s="5">
        <v>150</v>
      </c>
      <c r="H3" s="5">
        <v>100</v>
      </c>
      <c r="I3" s="5">
        <v>0</v>
      </c>
      <c r="J3" s="5">
        <v>300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/>
      <c r="S3" s="5"/>
      <c r="T3" s="5"/>
      <c r="U3" s="5"/>
      <c r="V3" s="5">
        <v>0</v>
      </c>
      <c r="W3" s="78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8" x14ac:dyDescent="0.3">
      <c r="A4">
        <v>1</v>
      </c>
      <c r="B4" s="23">
        <f t="shared" ref="B4:B43" si="0">1180-C4</f>
        <v>210</v>
      </c>
      <c r="C4" s="15">
        <f>SUM(D4:J4)</f>
        <v>970</v>
      </c>
      <c r="D4" s="15">
        <f>D3-K4</f>
        <v>291.60000000000002</v>
      </c>
      <c r="E4" s="15">
        <f t="shared" ref="E4:J19" si="1">E3-L4</f>
        <v>0</v>
      </c>
      <c r="F4" s="15">
        <f t="shared" si="1"/>
        <v>150</v>
      </c>
      <c r="G4" s="15">
        <f t="shared" si="1"/>
        <v>128.4</v>
      </c>
      <c r="H4" s="15">
        <f t="shared" si="1"/>
        <v>100</v>
      </c>
      <c r="I4" s="15">
        <f t="shared" si="1"/>
        <v>0</v>
      </c>
      <c r="J4" s="15">
        <f t="shared" si="1"/>
        <v>300</v>
      </c>
      <c r="K4" s="15">
        <f>0.73*80</f>
        <v>58.4</v>
      </c>
      <c r="L4" s="15">
        <v>0</v>
      </c>
      <c r="M4" s="15">
        <v>0</v>
      </c>
      <c r="N4" s="15">
        <f>0.27*80</f>
        <v>21.6</v>
      </c>
      <c r="O4" s="15">
        <v>0</v>
      </c>
      <c r="P4" s="15">
        <v>0</v>
      </c>
      <c r="Q4" s="15">
        <v>0</v>
      </c>
      <c r="R4" s="15" t="s">
        <v>53</v>
      </c>
      <c r="S4" s="15" t="s">
        <v>54</v>
      </c>
      <c r="T4" s="15">
        <v>57.599999999999987</v>
      </c>
      <c r="U4" s="15">
        <v>38.4</v>
      </c>
      <c r="V4" s="15">
        <f>SUM(K4:Q4)</f>
        <v>80</v>
      </c>
      <c r="W4" s="106">
        <f>Summary!$C$20*K4+Summary!$C$21*L4+Summary!$C$22*M4+Summary!$C$23*N4+Summary!$C$24*O4+Summary!$C$25*P4+Summary!$C$26*Q4</f>
        <v>1341.2239999999999</v>
      </c>
      <c r="X4" t="s">
        <v>55</v>
      </c>
      <c r="Y4">
        <v>96</v>
      </c>
      <c r="Z4">
        <v>96</v>
      </c>
      <c r="AG4" s="5"/>
      <c r="AH4" s="5"/>
      <c r="AI4" s="5"/>
      <c r="AJ4" s="5"/>
    </row>
    <row r="5" spans="1:38" x14ac:dyDescent="0.3">
      <c r="A5">
        <v>2</v>
      </c>
      <c r="B5" s="23">
        <f t="shared" si="0"/>
        <v>290</v>
      </c>
      <c r="C5" s="15">
        <f t="shared" ref="C5:C43" si="2">SUM(D5:J5)</f>
        <v>890</v>
      </c>
      <c r="D5" s="15">
        <f t="shared" ref="D5:J43" si="3">D4-K5</f>
        <v>233.60000000000002</v>
      </c>
      <c r="E5" s="15">
        <f t="shared" si="1"/>
        <v>0</v>
      </c>
      <c r="F5" s="15">
        <f t="shared" si="1"/>
        <v>150</v>
      </c>
      <c r="G5" s="15">
        <f t="shared" si="1"/>
        <v>106.4</v>
      </c>
      <c r="H5" s="15">
        <f t="shared" si="1"/>
        <v>100</v>
      </c>
      <c r="I5" s="15">
        <f t="shared" si="1"/>
        <v>0</v>
      </c>
      <c r="J5" s="15">
        <f t="shared" si="1"/>
        <v>300</v>
      </c>
      <c r="K5" s="15">
        <v>58</v>
      </c>
      <c r="L5" s="15">
        <v>0</v>
      </c>
      <c r="M5" s="15">
        <v>0</v>
      </c>
      <c r="N5" s="15">
        <v>22</v>
      </c>
      <c r="O5" s="15">
        <v>0</v>
      </c>
      <c r="P5" s="15">
        <v>0</v>
      </c>
      <c r="Q5" s="15">
        <v>0</v>
      </c>
      <c r="R5" s="15" t="s">
        <v>53</v>
      </c>
      <c r="S5" s="15" t="s">
        <v>54</v>
      </c>
      <c r="T5" s="15">
        <v>57.599999999999987</v>
      </c>
      <c r="U5" s="15">
        <v>38.4</v>
      </c>
      <c r="V5" s="15">
        <f t="shared" ref="V5:V43" si="4">SUM(K5:Q5)</f>
        <v>80</v>
      </c>
      <c r="W5" s="106">
        <f>Summary!$C$20*K5+Summary!$C$21*L5+Summary!$C$22*M5+Summary!$C$23*N5+Summary!$C$24*O5+Summary!$C$25*P5+Summary!$C$26*Q5</f>
        <v>1342.58</v>
      </c>
      <c r="X5" t="s">
        <v>55</v>
      </c>
      <c r="Y5">
        <v>96</v>
      </c>
      <c r="Z5">
        <v>96</v>
      </c>
      <c r="AG5" s="5"/>
      <c r="AH5" s="5"/>
      <c r="AI5" s="5"/>
      <c r="AJ5" s="5"/>
    </row>
    <row r="6" spans="1:38" x14ac:dyDescent="0.3">
      <c r="A6">
        <v>3</v>
      </c>
      <c r="B6" s="23">
        <f t="shared" si="0"/>
        <v>370</v>
      </c>
      <c r="C6" s="15">
        <f t="shared" si="2"/>
        <v>810</v>
      </c>
      <c r="D6" s="15">
        <f t="shared" si="3"/>
        <v>175.60000000000002</v>
      </c>
      <c r="E6" s="15">
        <f t="shared" si="1"/>
        <v>0</v>
      </c>
      <c r="F6" s="15">
        <f t="shared" si="1"/>
        <v>150</v>
      </c>
      <c r="G6" s="15">
        <f t="shared" si="1"/>
        <v>84.4</v>
      </c>
      <c r="H6" s="15">
        <f t="shared" si="1"/>
        <v>100</v>
      </c>
      <c r="I6" s="15">
        <f t="shared" si="1"/>
        <v>0</v>
      </c>
      <c r="J6" s="15">
        <f t="shared" si="1"/>
        <v>300</v>
      </c>
      <c r="K6" s="15">
        <v>58</v>
      </c>
      <c r="L6" s="15">
        <v>0</v>
      </c>
      <c r="M6" s="15">
        <v>0</v>
      </c>
      <c r="N6" s="15">
        <v>22</v>
      </c>
      <c r="O6" s="15">
        <v>0</v>
      </c>
      <c r="P6" s="15">
        <v>0</v>
      </c>
      <c r="Q6" s="15">
        <v>0</v>
      </c>
      <c r="R6" s="15" t="s">
        <v>53</v>
      </c>
      <c r="S6" s="15" t="s">
        <v>54</v>
      </c>
      <c r="T6" s="15">
        <v>34.799999999999997</v>
      </c>
      <c r="U6" s="15">
        <v>23.2</v>
      </c>
      <c r="V6" s="15">
        <f t="shared" si="4"/>
        <v>80</v>
      </c>
      <c r="W6" s="106">
        <f>Summary!$C$20*K6+Summary!$C$21*L6+Summary!$C$22*M6+Summary!$C$23*N6+Summary!$C$24*O6+Summary!$C$25*P6+Summary!$C$26*Q6</f>
        <v>1342.58</v>
      </c>
      <c r="X6" t="s">
        <v>55</v>
      </c>
      <c r="Y6">
        <v>58.000000000000007</v>
      </c>
      <c r="Z6">
        <v>96</v>
      </c>
      <c r="AG6" s="5"/>
      <c r="AH6" s="5"/>
      <c r="AI6" s="5"/>
      <c r="AJ6" s="5"/>
    </row>
    <row r="7" spans="1:38" x14ac:dyDescent="0.3">
      <c r="A7">
        <v>4</v>
      </c>
      <c r="B7" s="23">
        <f t="shared" si="0"/>
        <v>450</v>
      </c>
      <c r="C7" s="15">
        <f t="shared" si="2"/>
        <v>730</v>
      </c>
      <c r="D7" s="15">
        <f t="shared" si="3"/>
        <v>117.60000000000002</v>
      </c>
      <c r="E7" s="15">
        <f t="shared" si="1"/>
        <v>0</v>
      </c>
      <c r="F7" s="15">
        <f t="shared" si="1"/>
        <v>150</v>
      </c>
      <c r="G7" s="15">
        <f t="shared" si="1"/>
        <v>62.400000000000006</v>
      </c>
      <c r="H7" s="15">
        <f t="shared" si="1"/>
        <v>100</v>
      </c>
      <c r="I7" s="15">
        <f t="shared" si="1"/>
        <v>0</v>
      </c>
      <c r="J7" s="15">
        <f t="shared" si="1"/>
        <v>300</v>
      </c>
      <c r="K7" s="15">
        <v>58</v>
      </c>
      <c r="L7" s="15">
        <v>0</v>
      </c>
      <c r="M7" s="15">
        <v>0</v>
      </c>
      <c r="N7" s="15">
        <v>22</v>
      </c>
      <c r="O7" s="15">
        <v>0</v>
      </c>
      <c r="P7" s="15">
        <v>0</v>
      </c>
      <c r="Q7" s="15">
        <v>0</v>
      </c>
      <c r="R7" s="15" t="s">
        <v>59</v>
      </c>
      <c r="S7" s="15" t="s">
        <v>60</v>
      </c>
      <c r="T7" s="15">
        <v>25.65</v>
      </c>
      <c r="U7" s="15">
        <v>69.349999999999994</v>
      </c>
      <c r="V7" s="15">
        <f t="shared" si="4"/>
        <v>80</v>
      </c>
      <c r="W7" s="106">
        <f>Summary!$C$20*K7+Summary!$C$21*L7+Summary!$C$22*M7+Summary!$C$23*N7+Summary!$C$24*O7+Summary!$C$25*P7+Summary!$C$26*Q7</f>
        <v>1342.58</v>
      </c>
      <c r="X7" t="s">
        <v>61</v>
      </c>
      <c r="Y7">
        <v>95</v>
      </c>
      <c r="Z7">
        <v>95</v>
      </c>
      <c r="AG7" s="5"/>
      <c r="AH7" s="5"/>
      <c r="AI7" s="5"/>
      <c r="AJ7" s="5"/>
    </row>
    <row r="8" spans="1:38" x14ac:dyDescent="0.3">
      <c r="A8">
        <v>5</v>
      </c>
      <c r="B8" s="23">
        <f t="shared" si="0"/>
        <v>530</v>
      </c>
      <c r="C8" s="15">
        <f>SUM(D8:J8)</f>
        <v>650</v>
      </c>
      <c r="D8" s="15">
        <f t="shared" si="3"/>
        <v>59.600000000000023</v>
      </c>
      <c r="E8" s="15">
        <f t="shared" si="1"/>
        <v>0</v>
      </c>
      <c r="F8" s="15">
        <f t="shared" si="1"/>
        <v>150</v>
      </c>
      <c r="G8" s="15">
        <f t="shared" si="1"/>
        <v>40.400000000000006</v>
      </c>
      <c r="H8" s="15">
        <f t="shared" si="1"/>
        <v>100</v>
      </c>
      <c r="I8" s="15">
        <f t="shared" si="1"/>
        <v>0</v>
      </c>
      <c r="J8" s="15">
        <f t="shared" si="1"/>
        <v>300</v>
      </c>
      <c r="K8" s="15">
        <v>58</v>
      </c>
      <c r="L8" s="15">
        <v>0</v>
      </c>
      <c r="M8" s="15">
        <v>0</v>
      </c>
      <c r="N8" s="15">
        <v>22</v>
      </c>
      <c r="O8" s="15">
        <v>0</v>
      </c>
      <c r="P8" s="15">
        <v>0</v>
      </c>
      <c r="Q8" s="15">
        <v>0</v>
      </c>
      <c r="R8" s="15" t="s">
        <v>62</v>
      </c>
      <c r="S8" s="15" t="s">
        <v>60</v>
      </c>
      <c r="T8" s="15">
        <v>25.92</v>
      </c>
      <c r="U8" s="15">
        <v>70.08</v>
      </c>
      <c r="V8" s="15">
        <f t="shared" si="4"/>
        <v>80</v>
      </c>
      <c r="W8" s="106">
        <f>Summary!$C$20*K8+Summary!$C$21*L8+Summary!$C$22*M8+Summary!$C$23*N8+Summary!$C$24*O8+Summary!$C$25*P8+Summary!$C$26*Q8</f>
        <v>1342.58</v>
      </c>
      <c r="X8" t="s">
        <v>61</v>
      </c>
      <c r="Y8">
        <v>96</v>
      </c>
      <c r="Z8">
        <v>96</v>
      </c>
      <c r="AF8" t="s">
        <v>132</v>
      </c>
      <c r="AG8" s="5" t="s">
        <v>64</v>
      </c>
      <c r="AH8" s="5"/>
      <c r="AI8" s="5"/>
      <c r="AJ8" s="5"/>
    </row>
    <row r="9" spans="1:38" x14ac:dyDescent="0.3">
      <c r="A9">
        <v>6</v>
      </c>
      <c r="B9" s="23">
        <f t="shared" si="0"/>
        <v>610</v>
      </c>
      <c r="C9" s="15">
        <f t="shared" si="2"/>
        <v>570</v>
      </c>
      <c r="D9" s="15">
        <f t="shared" si="3"/>
        <v>1.6000000000000227</v>
      </c>
      <c r="E9" s="15">
        <f t="shared" si="1"/>
        <v>0</v>
      </c>
      <c r="F9" s="15">
        <f t="shared" si="1"/>
        <v>150</v>
      </c>
      <c r="G9" s="15">
        <f t="shared" si="1"/>
        <v>18.400000000000006</v>
      </c>
      <c r="H9" s="15">
        <f t="shared" si="1"/>
        <v>100</v>
      </c>
      <c r="I9" s="15">
        <f t="shared" si="1"/>
        <v>0</v>
      </c>
      <c r="J9" s="15">
        <f t="shared" si="1"/>
        <v>300</v>
      </c>
      <c r="K9" s="15">
        <v>58</v>
      </c>
      <c r="L9" s="15">
        <v>0</v>
      </c>
      <c r="M9" s="15">
        <v>0</v>
      </c>
      <c r="N9" s="15">
        <v>22</v>
      </c>
      <c r="O9" s="15">
        <v>0</v>
      </c>
      <c r="P9" s="15">
        <v>0</v>
      </c>
      <c r="Q9" s="15">
        <v>0</v>
      </c>
      <c r="R9" s="15" t="s">
        <v>62</v>
      </c>
      <c r="S9" s="15" t="s">
        <v>60</v>
      </c>
      <c r="T9" s="15">
        <v>25.92</v>
      </c>
      <c r="U9" s="15">
        <v>70.08</v>
      </c>
      <c r="V9" s="15">
        <f t="shared" si="4"/>
        <v>80</v>
      </c>
      <c r="W9" s="106">
        <f>Summary!$C$20*K9+Summary!$C$21*L9+Summary!$C$22*M9+Summary!$C$23*N9+Summary!$C$24*O9+Summary!$C$25*P9+Summary!$C$26*Q9</f>
        <v>1342.58</v>
      </c>
      <c r="X9" t="s">
        <v>61</v>
      </c>
      <c r="Y9">
        <v>96</v>
      </c>
      <c r="Z9">
        <v>96</v>
      </c>
      <c r="AF9" t="s">
        <v>133</v>
      </c>
      <c r="AG9" s="5" t="s">
        <v>65</v>
      </c>
      <c r="AH9" s="5"/>
      <c r="AI9" s="5"/>
      <c r="AJ9" s="5"/>
    </row>
    <row r="10" spans="1:38" x14ac:dyDescent="0.3">
      <c r="A10">
        <v>7</v>
      </c>
      <c r="B10" s="23">
        <f t="shared" si="0"/>
        <v>690</v>
      </c>
      <c r="C10" s="15">
        <f t="shared" si="2"/>
        <v>490</v>
      </c>
      <c r="D10" s="15">
        <f t="shared" si="3"/>
        <v>-0.39999999999997726</v>
      </c>
      <c r="E10" s="15">
        <f t="shared" si="1"/>
        <v>0</v>
      </c>
      <c r="F10" s="15">
        <f t="shared" si="1"/>
        <v>150</v>
      </c>
      <c r="G10" s="15">
        <f t="shared" si="1"/>
        <v>18.400000000000006</v>
      </c>
      <c r="H10" s="15">
        <f t="shared" si="1"/>
        <v>100</v>
      </c>
      <c r="I10" s="15">
        <f t="shared" si="1"/>
        <v>0</v>
      </c>
      <c r="J10" s="15">
        <f t="shared" si="1"/>
        <v>222</v>
      </c>
      <c r="K10" s="15">
        <v>2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78</v>
      </c>
      <c r="R10" s="15" t="s">
        <v>62</v>
      </c>
      <c r="S10" s="15" t="s">
        <v>60</v>
      </c>
      <c r="T10" s="15">
        <v>25.92</v>
      </c>
      <c r="U10" s="15">
        <v>70.08</v>
      </c>
      <c r="V10" s="15">
        <f t="shared" si="4"/>
        <v>80</v>
      </c>
      <c r="W10" s="106">
        <f>Summary!$C$20*K10+Summary!$C$21*L10+Summary!$C$22*M10+Summary!$C$23*N10+Summary!$C$24*O10+Summary!$C$25*P10+Summary!$C$26*Q10</f>
        <v>809.36000000000013</v>
      </c>
      <c r="X10" t="s">
        <v>61</v>
      </c>
      <c r="Y10">
        <v>96</v>
      </c>
      <c r="Z10">
        <v>96</v>
      </c>
      <c r="AF10" t="s">
        <v>58</v>
      </c>
      <c r="AG10" s="5" t="s">
        <v>67</v>
      </c>
      <c r="AH10" s="5"/>
      <c r="AI10" s="5"/>
      <c r="AJ10" s="5"/>
    </row>
    <row r="11" spans="1:38" x14ac:dyDescent="0.3">
      <c r="A11">
        <v>8</v>
      </c>
      <c r="B11" s="23">
        <f t="shared" si="0"/>
        <v>770</v>
      </c>
      <c r="C11" s="15">
        <f t="shared" si="2"/>
        <v>410</v>
      </c>
      <c r="D11" s="15">
        <f t="shared" si="3"/>
        <v>-0.39999999999997726</v>
      </c>
      <c r="E11" s="15">
        <f t="shared" si="1"/>
        <v>0</v>
      </c>
      <c r="F11" s="15">
        <f t="shared" si="1"/>
        <v>150</v>
      </c>
      <c r="G11" s="15">
        <f t="shared" si="1"/>
        <v>18.400000000000006</v>
      </c>
      <c r="H11" s="15">
        <f t="shared" si="1"/>
        <v>100</v>
      </c>
      <c r="I11" s="15">
        <f t="shared" si="1"/>
        <v>0</v>
      </c>
      <c r="J11" s="15">
        <f t="shared" si="1"/>
        <v>142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80</v>
      </c>
      <c r="R11" s="15" t="s">
        <v>62</v>
      </c>
      <c r="S11" s="15" t="s">
        <v>60</v>
      </c>
      <c r="T11" s="15">
        <v>25.92</v>
      </c>
      <c r="U11" s="15">
        <v>70.08</v>
      </c>
      <c r="V11" s="15">
        <f t="shared" si="4"/>
        <v>80</v>
      </c>
      <c r="W11" s="106">
        <f>Summary!$C$20*K11+Summary!$C$21*L11+Summary!$C$22*M11+Summary!$C$23*N11+Summary!$C$24*O11+Summary!$C$25*P11+Summary!$C$26*Q11</f>
        <v>797.6</v>
      </c>
      <c r="X11" t="s">
        <v>61</v>
      </c>
      <c r="Y11">
        <v>96</v>
      </c>
      <c r="Z11">
        <v>96</v>
      </c>
      <c r="AF11" t="s">
        <v>58</v>
      </c>
      <c r="AG11" s="5" t="s">
        <v>58</v>
      </c>
      <c r="AH11" s="5"/>
      <c r="AI11" s="5"/>
      <c r="AJ11" s="5"/>
    </row>
    <row r="12" spans="1:38" x14ac:dyDescent="0.3">
      <c r="A12">
        <v>9</v>
      </c>
      <c r="B12" s="23">
        <f t="shared" si="0"/>
        <v>850</v>
      </c>
      <c r="C12" s="15">
        <f t="shared" si="2"/>
        <v>330</v>
      </c>
      <c r="D12" s="15">
        <f t="shared" si="3"/>
        <v>-0.39999999999997726</v>
      </c>
      <c r="E12" s="15">
        <f t="shared" si="1"/>
        <v>0</v>
      </c>
      <c r="F12" s="15">
        <f t="shared" si="1"/>
        <v>150</v>
      </c>
      <c r="G12" s="15">
        <f t="shared" si="1"/>
        <v>18.400000000000006</v>
      </c>
      <c r="H12" s="15">
        <f t="shared" si="1"/>
        <v>100</v>
      </c>
      <c r="I12" s="15">
        <f t="shared" si="1"/>
        <v>0</v>
      </c>
      <c r="J12" s="15">
        <f t="shared" si="1"/>
        <v>62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80</v>
      </c>
      <c r="R12" s="15" t="s">
        <v>62</v>
      </c>
      <c r="S12" s="15" t="s">
        <v>60</v>
      </c>
      <c r="T12" s="15">
        <v>25.92</v>
      </c>
      <c r="U12" s="15">
        <v>70.08</v>
      </c>
      <c r="V12" s="15">
        <f>SUM(K12:Q12)</f>
        <v>80</v>
      </c>
      <c r="W12" s="106">
        <f>Summary!$C$20*K12+Summary!$C$21*L12+Summary!$C$22*M12+Summary!$C$23*N12+Summary!$C$24*O12+Summary!$C$25*P12+Summary!$C$26*Q12</f>
        <v>797.6</v>
      </c>
      <c r="X12" t="s">
        <v>61</v>
      </c>
      <c r="Y12">
        <v>96</v>
      </c>
      <c r="Z12">
        <v>96</v>
      </c>
      <c r="AF12" t="s">
        <v>63</v>
      </c>
      <c r="AG12" s="5" t="s">
        <v>58</v>
      </c>
      <c r="AH12" s="5"/>
      <c r="AI12" s="5"/>
      <c r="AJ12" s="5"/>
    </row>
    <row r="13" spans="1:38" x14ac:dyDescent="0.3">
      <c r="A13">
        <v>10</v>
      </c>
      <c r="B13" s="23">
        <f t="shared" si="0"/>
        <v>380.00000000000011</v>
      </c>
      <c r="C13" s="15">
        <f t="shared" si="2"/>
        <v>799.99999999999989</v>
      </c>
      <c r="D13" s="53">
        <f>D12-K13 + 400</f>
        <v>399.6</v>
      </c>
      <c r="E13" s="53">
        <f>E12-L13 + 150</f>
        <v>150</v>
      </c>
      <c r="F13" s="15">
        <f t="shared" si="1"/>
        <v>139.19999999999999</v>
      </c>
      <c r="G13" s="15">
        <f t="shared" si="1"/>
        <v>18.400000000000006</v>
      </c>
      <c r="H13" s="15">
        <f t="shared" si="1"/>
        <v>92.8</v>
      </c>
      <c r="I13" s="15">
        <f t="shared" si="1"/>
        <v>0</v>
      </c>
      <c r="J13" s="15">
        <f t="shared" si="1"/>
        <v>0</v>
      </c>
      <c r="K13" s="15">
        <v>0</v>
      </c>
      <c r="L13" s="15">
        <v>0</v>
      </c>
      <c r="M13" s="15">
        <f>(80-62)*0.6</f>
        <v>10.799999999999999</v>
      </c>
      <c r="N13" s="15">
        <v>0</v>
      </c>
      <c r="O13" s="15">
        <f>(80-62)*0.4</f>
        <v>7.2</v>
      </c>
      <c r="P13" s="15">
        <v>0</v>
      </c>
      <c r="Q13" s="15">
        <v>62</v>
      </c>
      <c r="R13" s="15" t="s">
        <v>62</v>
      </c>
      <c r="S13" s="15" t="s">
        <v>60</v>
      </c>
      <c r="T13" s="15">
        <v>20.399999999999991</v>
      </c>
      <c r="U13" s="15">
        <v>55.15555555555553</v>
      </c>
      <c r="V13" s="15">
        <f t="shared" si="4"/>
        <v>80</v>
      </c>
      <c r="W13" s="106">
        <f>Summary!$C$20*K13+Summary!$C$21*L13+Summary!$C$22*M13+Summary!$C$23*N13+Summary!$C$24*O13+Summary!$C$25*P13+Summary!$C$26*Q13</f>
        <v>868.37599999999998</v>
      </c>
      <c r="X13" t="s">
        <v>61</v>
      </c>
      <c r="Y13">
        <v>75.555555555555515</v>
      </c>
      <c r="Z13">
        <v>96</v>
      </c>
      <c r="AF13" t="s">
        <v>63</v>
      </c>
      <c r="AG13" s="5" t="s">
        <v>58</v>
      </c>
      <c r="AH13" s="5"/>
      <c r="AI13" s="5"/>
      <c r="AJ13" s="5"/>
      <c r="AK13" s="5" t="s">
        <v>69</v>
      </c>
    </row>
    <row r="14" spans="1:38" x14ac:dyDescent="0.3">
      <c r="A14">
        <v>11</v>
      </c>
      <c r="B14" s="23">
        <f t="shared" si="0"/>
        <v>460.00000000000011</v>
      </c>
      <c r="C14" s="15">
        <f t="shared" si="2"/>
        <v>719.99999999999989</v>
      </c>
      <c r="D14" s="53">
        <f t="shared" si="3"/>
        <v>399.6</v>
      </c>
      <c r="E14" s="53">
        <f t="shared" si="1"/>
        <v>150</v>
      </c>
      <c r="F14" s="15">
        <f t="shared" si="1"/>
        <v>91.199999999999989</v>
      </c>
      <c r="G14" s="15">
        <f t="shared" si="1"/>
        <v>18.400000000000006</v>
      </c>
      <c r="H14" s="15">
        <f t="shared" si="1"/>
        <v>60.8</v>
      </c>
      <c r="I14" s="15">
        <f t="shared" si="1"/>
        <v>0</v>
      </c>
      <c r="J14" s="15">
        <f t="shared" si="1"/>
        <v>0</v>
      </c>
      <c r="K14" s="15">
        <v>0</v>
      </c>
      <c r="L14" s="15">
        <v>0</v>
      </c>
      <c r="M14" s="15">
        <f>80*0.6</f>
        <v>48</v>
      </c>
      <c r="N14" s="15">
        <v>0</v>
      </c>
      <c r="O14" s="15">
        <f>80*0.4</f>
        <v>32</v>
      </c>
      <c r="P14" s="15">
        <v>0</v>
      </c>
      <c r="Q14" s="15">
        <v>0</v>
      </c>
      <c r="R14" s="15" t="s">
        <v>59</v>
      </c>
      <c r="S14" s="15" t="s">
        <v>60</v>
      </c>
      <c r="T14" s="15">
        <v>25.65</v>
      </c>
      <c r="U14" s="15">
        <v>69.349999999999994</v>
      </c>
      <c r="V14" s="15">
        <f t="shared" si="4"/>
        <v>80</v>
      </c>
      <c r="W14" s="106">
        <f>Summary!$C$20*K14+Summary!$C$21*L14+Summary!$C$22*M14+Summary!$C$23*N14+Summary!$C$24*O14+Summary!$C$25*P14+Summary!$C$26*Q14</f>
        <v>1112.1600000000001</v>
      </c>
      <c r="X14" t="s">
        <v>61</v>
      </c>
      <c r="Y14">
        <v>95</v>
      </c>
      <c r="Z14">
        <v>95</v>
      </c>
      <c r="AF14" t="s">
        <v>66</v>
      </c>
      <c r="AG14" s="5" t="s">
        <v>73</v>
      </c>
      <c r="AH14" s="5" t="s">
        <v>134</v>
      </c>
      <c r="AJ14" s="5"/>
      <c r="AK14" s="5" t="s">
        <v>58</v>
      </c>
    </row>
    <row r="15" spans="1:38" x14ac:dyDescent="0.3">
      <c r="A15">
        <v>12</v>
      </c>
      <c r="B15" s="23">
        <f t="shared" si="0"/>
        <v>540.00000000000011</v>
      </c>
      <c r="C15" s="15">
        <f t="shared" si="2"/>
        <v>639.99999999999989</v>
      </c>
      <c r="D15" s="53">
        <f t="shared" si="3"/>
        <v>399.6</v>
      </c>
      <c r="E15" s="53">
        <f t="shared" si="1"/>
        <v>150</v>
      </c>
      <c r="F15" s="15">
        <f>F14-M15</f>
        <v>43.199999999999989</v>
      </c>
      <c r="G15" s="15">
        <f t="shared" si="1"/>
        <v>18.400000000000006</v>
      </c>
      <c r="H15" s="15">
        <f t="shared" si="1"/>
        <v>28.799999999999997</v>
      </c>
      <c r="I15" s="15">
        <f t="shared" si="1"/>
        <v>0</v>
      </c>
      <c r="J15" s="15">
        <f t="shared" si="1"/>
        <v>0</v>
      </c>
      <c r="K15">
        <v>0</v>
      </c>
      <c r="L15">
        <v>0</v>
      </c>
      <c r="M15">
        <v>48</v>
      </c>
      <c r="N15">
        <v>0</v>
      </c>
      <c r="O15">
        <v>32</v>
      </c>
      <c r="P15">
        <v>0</v>
      </c>
      <c r="Q15">
        <v>0</v>
      </c>
      <c r="R15" t="s">
        <v>59</v>
      </c>
      <c r="S15" t="s">
        <v>60</v>
      </c>
      <c r="T15">
        <v>25.65</v>
      </c>
      <c r="U15">
        <v>69.349999999999994</v>
      </c>
      <c r="V15">
        <f t="shared" si="4"/>
        <v>80</v>
      </c>
      <c r="W15" s="106">
        <f>Summary!$C$20*K15+Summary!$C$21*L15+Summary!$C$22*M15+Summary!$C$23*N15+Summary!$C$24*O15+Summary!$C$25*P15+Summary!$C$26*Q15</f>
        <v>1112.1600000000001</v>
      </c>
      <c r="X15" t="s">
        <v>61</v>
      </c>
      <c r="Y15">
        <v>95</v>
      </c>
      <c r="Z15">
        <v>95</v>
      </c>
      <c r="AF15" t="s">
        <v>66</v>
      </c>
      <c r="AG15" s="5" t="s">
        <v>63</v>
      </c>
      <c r="AH15" s="5" t="s">
        <v>58</v>
      </c>
      <c r="AK15" s="5" t="s">
        <v>58</v>
      </c>
    </row>
    <row r="16" spans="1:38" x14ac:dyDescent="0.3">
      <c r="A16">
        <v>13</v>
      </c>
      <c r="B16" s="23">
        <f t="shared" si="0"/>
        <v>41.666666666666742</v>
      </c>
      <c r="C16" s="15">
        <f t="shared" si="2"/>
        <v>1138.3333333333333</v>
      </c>
      <c r="D16" s="53">
        <f t="shared" si="3"/>
        <v>399.6</v>
      </c>
      <c r="E16" s="53">
        <f t="shared" si="1"/>
        <v>150</v>
      </c>
      <c r="F16" s="15">
        <f t="shared" si="1"/>
        <v>0.19999999999998863</v>
      </c>
      <c r="G16" s="15">
        <f t="shared" si="1"/>
        <v>18.400000000000006</v>
      </c>
      <c r="H16" s="15">
        <f t="shared" si="1"/>
        <v>0.13333333333332931</v>
      </c>
      <c r="I16" s="53">
        <f>I15-P16 + 250</f>
        <v>250</v>
      </c>
      <c r="J16" s="53">
        <f>J15-Q16 + 320</f>
        <v>320</v>
      </c>
      <c r="K16">
        <v>0</v>
      </c>
      <c r="L16">
        <v>0</v>
      </c>
      <c r="M16" s="15">
        <v>43</v>
      </c>
      <c r="N16">
        <v>0</v>
      </c>
      <c r="O16" s="15">
        <f>(43/60)*40</f>
        <v>28.666666666666668</v>
      </c>
      <c r="P16">
        <v>0</v>
      </c>
      <c r="Q16">
        <v>0</v>
      </c>
      <c r="R16" t="s">
        <v>59</v>
      </c>
      <c r="S16" t="s">
        <v>60</v>
      </c>
      <c r="T16">
        <v>25.65</v>
      </c>
      <c r="U16">
        <v>69.349999999999994</v>
      </c>
      <c r="V16" s="15">
        <f t="shared" si="4"/>
        <v>71.666666666666671</v>
      </c>
      <c r="W16" s="106">
        <f>Summary!$C$20*K16+Summary!$C$21*L16+Summary!$C$22*M16+Summary!$C$23*N16+Summary!$C$24*O16+Summary!$C$25*P16+Summary!$C$26*Q16</f>
        <v>996.31000000000006</v>
      </c>
      <c r="X16" t="s">
        <v>61</v>
      </c>
      <c r="Y16">
        <v>95</v>
      </c>
      <c r="Z16">
        <v>95</v>
      </c>
      <c r="AF16" t="s">
        <v>66</v>
      </c>
      <c r="AG16" s="5" t="s">
        <v>63</v>
      </c>
      <c r="AH16" s="5" t="s">
        <v>58</v>
      </c>
      <c r="AK16" s="5" t="s">
        <v>73</v>
      </c>
    </row>
    <row r="17" spans="1:38" s="6" customFormat="1" x14ac:dyDescent="0.3">
      <c r="A17">
        <v>14</v>
      </c>
      <c r="B17" s="23">
        <f t="shared" si="0"/>
        <v>137.66666666666652</v>
      </c>
      <c r="C17" s="15">
        <f t="shared" si="2"/>
        <v>1042.3333333333335</v>
      </c>
      <c r="D17" s="60">
        <f t="shared" si="3"/>
        <v>329.6</v>
      </c>
      <c r="E17" s="60">
        <f t="shared" si="1"/>
        <v>124</v>
      </c>
      <c r="F17" s="15">
        <f t="shared" si="1"/>
        <v>0.19999999999998863</v>
      </c>
      <c r="G17" s="15">
        <f t="shared" si="1"/>
        <v>18.400000000000006</v>
      </c>
      <c r="H17" s="15">
        <f t="shared" si="1"/>
        <v>0.13333333333332931</v>
      </c>
      <c r="I17" s="53">
        <f t="shared" si="1"/>
        <v>250</v>
      </c>
      <c r="J17" s="53">
        <f t="shared" si="1"/>
        <v>320</v>
      </c>
      <c r="K17">
        <v>70</v>
      </c>
      <c r="L17">
        <v>26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59</v>
      </c>
      <c r="S17" t="s">
        <v>60</v>
      </c>
      <c r="T17">
        <v>24.797260273972611</v>
      </c>
      <c r="U17">
        <v>67.044444444444451</v>
      </c>
      <c r="V17">
        <f t="shared" si="4"/>
        <v>96</v>
      </c>
      <c r="W17" s="106">
        <f>Summary!$C$20*K17+Summary!$C$21*L17+Summary!$C$22*M17+Summary!$C$23*N17+Summary!$C$24*O17+Summary!$C$25*P17+Summary!$C$26*Q17</f>
        <v>1589.72</v>
      </c>
      <c r="X17" t="s">
        <v>61</v>
      </c>
      <c r="Y17">
        <v>91.841704718417063</v>
      </c>
      <c r="Z17">
        <v>95</v>
      </c>
      <c r="AA17"/>
      <c r="AB17"/>
      <c r="AC17"/>
      <c r="AD17"/>
      <c r="AE17"/>
      <c r="AF17" t="s">
        <v>141</v>
      </c>
      <c r="AG17" s="5" t="s">
        <v>71</v>
      </c>
      <c r="AH17" s="5" t="s">
        <v>58</v>
      </c>
      <c r="AI17"/>
      <c r="AJ17"/>
      <c r="AK17" t="s">
        <v>63</v>
      </c>
      <c r="AL17"/>
    </row>
    <row r="18" spans="1:38" x14ac:dyDescent="0.3">
      <c r="A18">
        <v>15</v>
      </c>
      <c r="B18" s="23">
        <f t="shared" si="0"/>
        <v>83.666666666666515</v>
      </c>
      <c r="C18" s="15">
        <f t="shared" si="2"/>
        <v>1096.3333333333335</v>
      </c>
      <c r="D18" s="15">
        <f t="shared" si="3"/>
        <v>259.60000000000002</v>
      </c>
      <c r="E18" s="15">
        <f t="shared" si="1"/>
        <v>98</v>
      </c>
      <c r="F18" s="53">
        <f>F17-M18 + 150</f>
        <v>150.19999999999999</v>
      </c>
      <c r="G18" s="15">
        <f t="shared" si="1"/>
        <v>18.400000000000006</v>
      </c>
      <c r="H18" s="15">
        <f t="shared" si="1"/>
        <v>0.13333333333332931</v>
      </c>
      <c r="I18" s="53">
        <f t="shared" si="1"/>
        <v>250</v>
      </c>
      <c r="J18" s="53">
        <f t="shared" si="1"/>
        <v>320</v>
      </c>
      <c r="K18" s="15">
        <v>70</v>
      </c>
      <c r="L18" s="15">
        <v>26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 t="s">
        <v>53</v>
      </c>
      <c r="S18" s="15"/>
      <c r="T18" s="15">
        <v>7.1054273576010019E-15</v>
      </c>
      <c r="U18" s="15">
        <v>0</v>
      </c>
      <c r="V18" s="15">
        <f t="shared" si="4"/>
        <v>96</v>
      </c>
      <c r="W18" s="106">
        <f>Summary!$C$20*K18+Summary!$C$21*L18+Summary!$C$22*M18+Summary!$C$23*N18+Summary!$C$24*O18+Summary!$C$25*P18+Summary!$C$26*Q18</f>
        <v>1589.72</v>
      </c>
      <c r="X18" t="s">
        <v>72</v>
      </c>
      <c r="Y18">
        <v>7.1054273576010019E-15</v>
      </c>
      <c r="Z18">
        <v>96</v>
      </c>
      <c r="AG18" s="5" t="s">
        <v>71</v>
      </c>
      <c r="AH18" s="5" t="s">
        <v>73</v>
      </c>
      <c r="AK18" t="s">
        <v>63</v>
      </c>
    </row>
    <row r="19" spans="1:38" s="6" customFormat="1" x14ac:dyDescent="0.3">
      <c r="A19">
        <v>16</v>
      </c>
      <c r="B19" s="23">
        <f t="shared" si="0"/>
        <v>179.66666666666663</v>
      </c>
      <c r="C19" s="15">
        <f t="shared" si="2"/>
        <v>1000.3333333333334</v>
      </c>
      <c r="D19" s="15">
        <f t="shared" si="3"/>
        <v>189.60000000000002</v>
      </c>
      <c r="E19" s="15">
        <f t="shared" si="1"/>
        <v>72</v>
      </c>
      <c r="F19" s="53">
        <f t="shared" si="1"/>
        <v>150.19999999999999</v>
      </c>
      <c r="G19" s="15">
        <f t="shared" si="1"/>
        <v>18.400000000000006</v>
      </c>
      <c r="H19" s="15">
        <f t="shared" si="1"/>
        <v>0.13333333333332931</v>
      </c>
      <c r="I19" s="53">
        <f t="shared" si="1"/>
        <v>250</v>
      </c>
      <c r="J19" s="53">
        <f t="shared" si="1"/>
        <v>320</v>
      </c>
      <c r="K19" s="15">
        <v>70</v>
      </c>
      <c r="L19" s="15">
        <v>26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 t="s">
        <v>59</v>
      </c>
      <c r="S19" s="15"/>
      <c r="T19" s="15">
        <v>95</v>
      </c>
      <c r="U19" s="15">
        <v>0</v>
      </c>
      <c r="V19" s="15">
        <f t="shared" si="4"/>
        <v>96</v>
      </c>
      <c r="W19" s="106">
        <f>Summary!$C$20*K19+Summary!$C$21*L19+Summary!$C$22*M19+Summary!$C$23*N19+Summary!$C$24*O19+Summary!$C$25*P19+Summary!$C$26*Q19</f>
        <v>1589.72</v>
      </c>
      <c r="X19" t="s">
        <v>72</v>
      </c>
      <c r="Y19">
        <v>95</v>
      </c>
      <c r="Z19">
        <v>95</v>
      </c>
      <c r="AA19"/>
      <c r="AB19"/>
      <c r="AC19"/>
      <c r="AD19"/>
      <c r="AE19"/>
      <c r="AF19"/>
      <c r="AG19" s="5" t="s">
        <v>71</v>
      </c>
      <c r="AH19" s="5" t="s">
        <v>73</v>
      </c>
      <c r="AI19"/>
      <c r="AJ19"/>
      <c r="AK19" t="s">
        <v>66</v>
      </c>
      <c r="AL19"/>
    </row>
    <row r="20" spans="1:38" x14ac:dyDescent="0.3">
      <c r="A20">
        <v>17</v>
      </c>
      <c r="B20" s="23">
        <f t="shared" si="0"/>
        <v>275.66666666666663</v>
      </c>
      <c r="C20" s="15">
        <f t="shared" si="2"/>
        <v>904.33333333333337</v>
      </c>
      <c r="D20" s="15">
        <f t="shared" si="3"/>
        <v>119.60000000000002</v>
      </c>
      <c r="E20" s="15">
        <f t="shared" si="3"/>
        <v>46</v>
      </c>
      <c r="F20" s="53">
        <f t="shared" si="3"/>
        <v>150.19999999999999</v>
      </c>
      <c r="G20" s="15">
        <f t="shared" si="3"/>
        <v>18.400000000000006</v>
      </c>
      <c r="H20" s="15">
        <f t="shared" si="3"/>
        <v>0.13333333333332931</v>
      </c>
      <c r="I20" s="60">
        <f t="shared" si="3"/>
        <v>250</v>
      </c>
      <c r="J20" s="60">
        <f t="shared" si="3"/>
        <v>320</v>
      </c>
      <c r="K20" s="15">
        <v>70</v>
      </c>
      <c r="L20" s="15">
        <v>26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 t="s">
        <v>59</v>
      </c>
      <c r="S20" s="15"/>
      <c r="T20" s="15">
        <v>77.60273972602738</v>
      </c>
      <c r="U20" s="15">
        <v>0</v>
      </c>
      <c r="V20" s="15">
        <f t="shared" si="4"/>
        <v>96</v>
      </c>
      <c r="W20" s="106">
        <f>Summary!$C$20*K20+Summary!$C$21*L20+Summary!$C$22*M20+Summary!$C$23*N20+Summary!$C$24*O20+Summary!$C$25*P20+Summary!$C$26*Q20</f>
        <v>1589.72</v>
      </c>
      <c r="X20" t="s">
        <v>72</v>
      </c>
      <c r="Y20">
        <v>77.60273972602738</v>
      </c>
      <c r="Z20">
        <v>95</v>
      </c>
      <c r="AG20" s="5" t="s">
        <v>111</v>
      </c>
      <c r="AH20" s="5" t="s">
        <v>73</v>
      </c>
      <c r="AK20" t="s">
        <v>66</v>
      </c>
    </row>
    <row r="21" spans="1:38" s="6" customFormat="1" x14ac:dyDescent="0.3">
      <c r="A21">
        <v>18</v>
      </c>
      <c r="B21" s="23">
        <f t="shared" si="0"/>
        <v>371.15981735159812</v>
      </c>
      <c r="C21" s="15">
        <f>SUM(D21:J21)</f>
        <v>808.84018264840188</v>
      </c>
      <c r="D21" s="15">
        <f t="shared" si="3"/>
        <v>69.600000000000023</v>
      </c>
      <c r="E21" s="15">
        <f t="shared" si="3"/>
        <v>27.506849315068493</v>
      </c>
      <c r="F21" s="53">
        <f t="shared" si="3"/>
        <v>150.19999999999999</v>
      </c>
      <c r="G21" s="15">
        <f t="shared" si="3"/>
        <v>18.400000000000006</v>
      </c>
      <c r="H21" s="15">
        <f t="shared" si="3"/>
        <v>0.13333333333332931</v>
      </c>
      <c r="I21" s="15">
        <f t="shared" si="3"/>
        <v>250</v>
      </c>
      <c r="J21" s="15">
        <f t="shared" si="3"/>
        <v>293</v>
      </c>
      <c r="K21" s="15">
        <v>50</v>
      </c>
      <c r="L21" s="15">
        <f>(50/73)*27</f>
        <v>18.493150684931507</v>
      </c>
      <c r="M21" s="15">
        <v>0</v>
      </c>
      <c r="N21" s="15">
        <v>0</v>
      </c>
      <c r="O21" s="15">
        <v>0</v>
      </c>
      <c r="P21" s="15">
        <v>0</v>
      </c>
      <c r="Q21" s="15">
        <v>27</v>
      </c>
      <c r="R21" s="15" t="s">
        <v>75</v>
      </c>
      <c r="S21" s="15"/>
      <c r="T21" s="15">
        <v>95</v>
      </c>
      <c r="U21" s="15">
        <v>0</v>
      </c>
      <c r="V21" s="15">
        <f t="shared" si="4"/>
        <v>95.493150684931507</v>
      </c>
      <c r="W21" s="106">
        <f>Summary!$C$20*K21+Summary!$C$21*L21+Summary!$C$22*M21+Summary!$C$23*N21+Summary!$C$24*O21+Summary!$C$25*P21+Summary!$C$26*Q21</f>
        <v>1403.2584931506849</v>
      </c>
      <c r="X21" t="s">
        <v>72</v>
      </c>
      <c r="Y21">
        <v>95</v>
      </c>
      <c r="Z21">
        <v>95</v>
      </c>
      <c r="AA21"/>
      <c r="AB21"/>
      <c r="AC21"/>
      <c r="AD21"/>
      <c r="AE21"/>
      <c r="AF21"/>
      <c r="AH21" s="5" t="s">
        <v>73</v>
      </c>
      <c r="AI21" t="s">
        <v>77</v>
      </c>
      <c r="AJ21"/>
      <c r="AK21" t="s">
        <v>66</v>
      </c>
      <c r="AL21"/>
    </row>
    <row r="22" spans="1:38" x14ac:dyDescent="0.3">
      <c r="A22">
        <v>19</v>
      </c>
      <c r="B22" s="23">
        <f t="shared" si="0"/>
        <v>466.15981735159812</v>
      </c>
      <c r="C22" s="15">
        <f t="shared" si="2"/>
        <v>713.84018264840188</v>
      </c>
      <c r="D22" s="15">
        <f t="shared" si="3"/>
        <v>69.600000000000023</v>
      </c>
      <c r="E22" s="15">
        <f t="shared" si="3"/>
        <v>27.506849315068493</v>
      </c>
      <c r="F22" s="60">
        <f t="shared" si="3"/>
        <v>150.19999999999999</v>
      </c>
      <c r="G22" s="15">
        <f t="shared" si="3"/>
        <v>18.400000000000006</v>
      </c>
      <c r="H22" s="15">
        <f t="shared" si="3"/>
        <v>0.13333333333332931</v>
      </c>
      <c r="I22" s="15">
        <f t="shared" si="3"/>
        <v>250</v>
      </c>
      <c r="J22" s="15">
        <f t="shared" si="3"/>
        <v>198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95</v>
      </c>
      <c r="R22" s="15" t="s">
        <v>53</v>
      </c>
      <c r="S22" s="15"/>
      <c r="T22" s="15">
        <v>96</v>
      </c>
      <c r="U22" s="15">
        <v>0</v>
      </c>
      <c r="V22" s="15">
        <f t="shared" si="4"/>
        <v>95</v>
      </c>
      <c r="W22" s="106">
        <f>Summary!$C$20*K22+Summary!$C$21*L22+Summary!$C$22*M22+Summary!$C$23*N22+Summary!$C$24*O22+Summary!$C$25*P22+Summary!$C$26*Q22</f>
        <v>947.15000000000009</v>
      </c>
      <c r="X22" t="s">
        <v>72</v>
      </c>
      <c r="Y22">
        <v>96</v>
      </c>
      <c r="Z22">
        <v>96</v>
      </c>
      <c r="AH22" s="5" t="s">
        <v>63</v>
      </c>
      <c r="AI22" t="s">
        <v>78</v>
      </c>
      <c r="AK22" s="28" t="s">
        <v>76</v>
      </c>
    </row>
    <row r="23" spans="1:38" s="6" customFormat="1" ht="13.95" customHeight="1" x14ac:dyDescent="0.3">
      <c r="A23">
        <v>20</v>
      </c>
      <c r="B23" s="23">
        <f t="shared" si="0"/>
        <v>11.159817351598122</v>
      </c>
      <c r="C23" s="15">
        <f t="shared" si="2"/>
        <v>1168.8401826484019</v>
      </c>
      <c r="D23" s="15">
        <f t="shared" si="3"/>
        <v>69.600000000000023</v>
      </c>
      <c r="E23" s="15">
        <f t="shared" si="3"/>
        <v>27.506849315068493</v>
      </c>
      <c r="F23" s="15">
        <f t="shared" si="3"/>
        <v>150.19999999999999</v>
      </c>
      <c r="G23" s="15">
        <f t="shared" si="3"/>
        <v>18.400000000000006</v>
      </c>
      <c r="H23" s="15">
        <f t="shared" si="3"/>
        <v>0.13333333333332931</v>
      </c>
      <c r="I23" s="53">
        <f>I22-P23 + 550</f>
        <v>800</v>
      </c>
      <c r="J23" s="15">
        <f t="shared" si="3"/>
        <v>103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95</v>
      </c>
      <c r="R23" s="15" t="s">
        <v>53</v>
      </c>
      <c r="S23" s="15"/>
      <c r="T23" s="15">
        <v>96</v>
      </c>
      <c r="U23" s="15">
        <v>0</v>
      </c>
      <c r="V23" s="15">
        <f t="shared" si="4"/>
        <v>95</v>
      </c>
      <c r="W23" s="106">
        <f>Summary!$C$20*K23+Summary!$C$21*L23+Summary!$C$22*M23+Summary!$C$23*N23+Summary!$C$24*O23+Summary!$C$25*P23+Summary!$C$26*Q23</f>
        <v>947.15000000000009</v>
      </c>
      <c r="X23" t="s">
        <v>72</v>
      </c>
      <c r="Y23">
        <v>96</v>
      </c>
      <c r="Z23">
        <v>96</v>
      </c>
      <c r="AA23"/>
      <c r="AB23"/>
      <c r="AC23"/>
      <c r="AD23"/>
      <c r="AE23"/>
      <c r="AF23"/>
      <c r="AH23" s="5" t="s">
        <v>63</v>
      </c>
      <c r="AI23" t="s">
        <v>58</v>
      </c>
      <c r="AJ23"/>
      <c r="AK23"/>
      <c r="AL23"/>
    </row>
    <row r="24" spans="1:38" x14ac:dyDescent="0.3">
      <c r="A24">
        <v>21</v>
      </c>
      <c r="B24" s="23">
        <f t="shared" si="0"/>
        <v>106.15981735159812</v>
      </c>
      <c r="C24" s="15">
        <f t="shared" si="2"/>
        <v>1073.8401826484019</v>
      </c>
      <c r="D24" s="15">
        <f t="shared" si="3"/>
        <v>69.600000000000023</v>
      </c>
      <c r="E24" s="15">
        <f t="shared" si="3"/>
        <v>27.506849315068493</v>
      </c>
      <c r="F24" s="15">
        <f t="shared" si="3"/>
        <v>150.19999999999999</v>
      </c>
      <c r="G24" s="15">
        <f t="shared" si="3"/>
        <v>18.400000000000006</v>
      </c>
      <c r="H24" s="15">
        <f t="shared" si="3"/>
        <v>0.13333333333332931</v>
      </c>
      <c r="I24" s="53">
        <f t="shared" si="3"/>
        <v>800</v>
      </c>
      <c r="J24" s="15">
        <f t="shared" si="3"/>
        <v>8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95</v>
      </c>
      <c r="R24" s="15" t="s">
        <v>53</v>
      </c>
      <c r="S24" s="15"/>
      <c r="T24" s="15">
        <v>8</v>
      </c>
      <c r="U24" s="15">
        <v>0</v>
      </c>
      <c r="V24" s="15">
        <f t="shared" si="4"/>
        <v>95</v>
      </c>
      <c r="W24" s="106">
        <f>Summary!$C$20*K24+Summary!$C$21*L24+Summary!$C$22*M24+Summary!$C$23*N24+Summary!$C$24*O24+Summary!$C$25*P24+Summary!$C$26*Q24</f>
        <v>947.15000000000009</v>
      </c>
      <c r="X24" t="s">
        <v>72</v>
      </c>
      <c r="Y24">
        <v>8</v>
      </c>
      <c r="Z24">
        <v>96</v>
      </c>
      <c r="AH24" s="5" t="s">
        <v>71</v>
      </c>
      <c r="AI24" t="s">
        <v>58</v>
      </c>
      <c r="AJ24" t="s">
        <v>79</v>
      </c>
    </row>
    <row r="25" spans="1:38" x14ac:dyDescent="0.3">
      <c r="A25">
        <v>22</v>
      </c>
      <c r="B25" s="23">
        <f t="shared" si="0"/>
        <v>201.15981735159812</v>
      </c>
      <c r="C25" s="15">
        <f>SUM(D25:J25)</f>
        <v>978.84018264840188</v>
      </c>
      <c r="D25" s="15">
        <f t="shared" si="3"/>
        <v>69.600000000000023</v>
      </c>
      <c r="E25" s="15">
        <f t="shared" si="3"/>
        <v>27.506849315068493</v>
      </c>
      <c r="F25" s="15">
        <f t="shared" si="3"/>
        <v>150.19999999999999</v>
      </c>
      <c r="G25" s="15">
        <f t="shared" si="3"/>
        <v>18.400000000000006</v>
      </c>
      <c r="H25" s="15">
        <f t="shared" si="3"/>
        <v>0.13333333333332931</v>
      </c>
      <c r="I25" s="53">
        <f t="shared" si="3"/>
        <v>713</v>
      </c>
      <c r="J25" s="15">
        <f t="shared" si="3"/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87</v>
      </c>
      <c r="Q25" s="15">
        <v>8</v>
      </c>
      <c r="R25" s="15" t="s">
        <v>60</v>
      </c>
      <c r="S25" s="15"/>
      <c r="T25" s="15">
        <v>87</v>
      </c>
      <c r="U25" s="15">
        <v>0</v>
      </c>
      <c r="V25" s="15">
        <f t="shared" si="4"/>
        <v>95</v>
      </c>
      <c r="W25" s="106">
        <f>Summary!$C$20*K25+Summary!$C$21*L25+Summary!$C$22*M25+Summary!$C$23*N25+Summary!$C$24*O25+Summary!$C$25*P25+Summary!$C$26*Q25</f>
        <v>948.02</v>
      </c>
      <c r="X25" t="s">
        <v>72</v>
      </c>
      <c r="Y25">
        <v>87</v>
      </c>
      <c r="Z25">
        <v>87</v>
      </c>
      <c r="AH25" s="5" t="s">
        <v>71</v>
      </c>
      <c r="AI25" t="s">
        <v>73</v>
      </c>
      <c r="AJ25" t="s">
        <v>81</v>
      </c>
    </row>
    <row r="26" spans="1:38" x14ac:dyDescent="0.3">
      <c r="A26">
        <v>23</v>
      </c>
      <c r="B26" s="23">
        <f t="shared" si="0"/>
        <v>296.15981735159812</v>
      </c>
      <c r="C26" s="15">
        <f t="shared" si="2"/>
        <v>883.84018264840188</v>
      </c>
      <c r="D26" s="15">
        <f t="shared" si="3"/>
        <v>69.600000000000023</v>
      </c>
      <c r="E26" s="15">
        <f t="shared" si="3"/>
        <v>27.506849315068493</v>
      </c>
      <c r="F26" s="15">
        <f t="shared" si="3"/>
        <v>150.19999999999999</v>
      </c>
      <c r="G26" s="15">
        <f t="shared" si="3"/>
        <v>18.400000000000006</v>
      </c>
      <c r="H26" s="15">
        <f t="shared" si="3"/>
        <v>0.13333333333332931</v>
      </c>
      <c r="I26" s="53">
        <f t="shared" si="3"/>
        <v>618</v>
      </c>
      <c r="J26" s="15">
        <f t="shared" si="3"/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95</v>
      </c>
      <c r="Q26" s="15">
        <v>0</v>
      </c>
      <c r="R26" s="15" t="s">
        <v>60</v>
      </c>
      <c r="S26" s="15"/>
      <c r="T26" s="15">
        <v>87</v>
      </c>
      <c r="U26" s="15">
        <v>0</v>
      </c>
      <c r="V26" s="15">
        <f t="shared" si="4"/>
        <v>95</v>
      </c>
      <c r="W26" s="106">
        <f>Summary!$C$20*K26+Summary!$C$21*L26+Summary!$C$22*M26+Summary!$C$23*N26+Summary!$C$24*O26+Summary!$C$25*P26+Summary!$C$26*Q26</f>
        <v>948.1</v>
      </c>
      <c r="X26" t="s">
        <v>72</v>
      </c>
      <c r="Y26">
        <v>87</v>
      </c>
      <c r="Z26">
        <v>87</v>
      </c>
      <c r="AH26" s="5" t="s">
        <v>71</v>
      </c>
      <c r="AI26" t="s">
        <v>73</v>
      </c>
      <c r="AJ26" t="s">
        <v>82</v>
      </c>
    </row>
    <row r="27" spans="1:38" x14ac:dyDescent="0.3">
      <c r="A27">
        <v>24</v>
      </c>
      <c r="B27" s="23">
        <f t="shared" si="0"/>
        <v>391.15981735159812</v>
      </c>
      <c r="C27" s="15">
        <f t="shared" si="2"/>
        <v>788.84018264840188</v>
      </c>
      <c r="D27" s="15">
        <f t="shared" si="3"/>
        <v>69.600000000000023</v>
      </c>
      <c r="E27" s="15">
        <f t="shared" si="3"/>
        <v>27.506849315068493</v>
      </c>
      <c r="F27" s="15">
        <f t="shared" si="3"/>
        <v>150.19999999999999</v>
      </c>
      <c r="G27" s="15">
        <f t="shared" si="3"/>
        <v>18.400000000000006</v>
      </c>
      <c r="H27" s="15">
        <f t="shared" si="3"/>
        <v>0.13333333333332931</v>
      </c>
      <c r="I27" s="60">
        <f t="shared" si="3"/>
        <v>523</v>
      </c>
      <c r="J27" s="15">
        <f t="shared" si="3"/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95</v>
      </c>
      <c r="Q27" s="15">
        <v>0</v>
      </c>
      <c r="R27" s="15" t="s">
        <v>60</v>
      </c>
      <c r="S27" s="15"/>
      <c r="T27" s="15">
        <v>87</v>
      </c>
      <c r="U27" s="15">
        <v>0</v>
      </c>
      <c r="V27" s="15">
        <f t="shared" si="4"/>
        <v>95</v>
      </c>
      <c r="W27" s="106">
        <f>Summary!$C$20*K27+Summary!$C$21*L27+Summary!$C$22*M27+Summary!$C$23*N27+Summary!$C$24*O27+Summary!$C$25*P27+Summary!$C$26*Q27</f>
        <v>948.1</v>
      </c>
      <c r="X27" t="s">
        <v>72</v>
      </c>
      <c r="Y27">
        <v>87</v>
      </c>
      <c r="Z27">
        <v>87</v>
      </c>
      <c r="AH27" s="5" t="s">
        <v>80</v>
      </c>
      <c r="AI27" t="s">
        <v>73</v>
      </c>
      <c r="AJ27" t="s">
        <v>83</v>
      </c>
    </row>
    <row r="28" spans="1:38" x14ac:dyDescent="0.3">
      <c r="A28">
        <v>25</v>
      </c>
      <c r="B28" s="23">
        <f t="shared" si="0"/>
        <v>486.15981735159812</v>
      </c>
      <c r="C28" s="15">
        <f t="shared" si="2"/>
        <v>693.84018264840188</v>
      </c>
      <c r="D28" s="15">
        <f t="shared" si="3"/>
        <v>69.600000000000023</v>
      </c>
      <c r="E28" s="15">
        <f t="shared" si="3"/>
        <v>27.506849315068493</v>
      </c>
      <c r="F28" s="15">
        <f t="shared" si="3"/>
        <v>150.19999999999999</v>
      </c>
      <c r="G28" s="15">
        <f t="shared" si="3"/>
        <v>18.400000000000006</v>
      </c>
      <c r="H28" s="15">
        <f t="shared" si="3"/>
        <v>0.13333333333332931</v>
      </c>
      <c r="I28" s="15">
        <f t="shared" si="3"/>
        <v>428</v>
      </c>
      <c r="J28" s="15">
        <f t="shared" si="3"/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95</v>
      </c>
      <c r="Q28" s="15">
        <v>0</v>
      </c>
      <c r="R28" s="15" t="s">
        <v>60</v>
      </c>
      <c r="S28" s="15"/>
      <c r="T28" s="15">
        <v>87</v>
      </c>
      <c r="U28" s="15">
        <v>0</v>
      </c>
      <c r="V28" s="15">
        <f t="shared" si="4"/>
        <v>95</v>
      </c>
      <c r="W28" s="106">
        <f>Summary!$C$20*K28+Summary!$C$21*L28+Summary!$C$22*M28+Summary!$C$23*N28+Summary!$C$24*O28+Summary!$C$25*P28+Summary!$C$26*Q28</f>
        <v>948.1</v>
      </c>
      <c r="X28" t="s">
        <v>72</v>
      </c>
      <c r="Y28">
        <v>87</v>
      </c>
      <c r="Z28">
        <v>87</v>
      </c>
      <c r="AI28" t="s">
        <v>63</v>
      </c>
      <c r="AJ28" t="s">
        <v>58</v>
      </c>
    </row>
    <row r="29" spans="1:38" x14ac:dyDescent="0.3">
      <c r="A29">
        <v>26</v>
      </c>
      <c r="B29" s="23">
        <f t="shared" si="0"/>
        <v>21.159817351598122</v>
      </c>
      <c r="C29" s="15">
        <f t="shared" si="2"/>
        <v>1158.8401826484019</v>
      </c>
      <c r="D29" s="53">
        <f>D28-K29 + 360</f>
        <v>429.6</v>
      </c>
      <c r="E29" s="15">
        <f t="shared" si="3"/>
        <v>27.506849315068493</v>
      </c>
      <c r="F29" s="15">
        <f t="shared" si="3"/>
        <v>150.19999999999999</v>
      </c>
      <c r="G29" s="53">
        <f>G28-N29 + 200</f>
        <v>218.4</v>
      </c>
      <c r="H29" s="15">
        <f t="shared" si="3"/>
        <v>0.13333333333332931</v>
      </c>
      <c r="I29" s="15">
        <f t="shared" si="3"/>
        <v>333</v>
      </c>
      <c r="J29" s="15">
        <f t="shared" si="3"/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95</v>
      </c>
      <c r="Q29" s="15">
        <v>0</v>
      </c>
      <c r="R29" s="15" t="s">
        <v>60</v>
      </c>
      <c r="S29" s="15"/>
      <c r="T29" s="15">
        <v>12</v>
      </c>
      <c r="U29" s="15">
        <v>0</v>
      </c>
      <c r="V29" s="15">
        <f t="shared" si="4"/>
        <v>95</v>
      </c>
      <c r="W29" s="106">
        <f>Summary!$C$20*K29+Summary!$C$21*L29+Summary!$C$22*M29+Summary!$C$23*N29+Summary!$C$24*O29+Summary!$C$25*P29+Summary!$C$26*Q29</f>
        <v>948.1</v>
      </c>
      <c r="X29" t="s">
        <v>72</v>
      </c>
      <c r="Y29">
        <v>12</v>
      </c>
      <c r="Z29">
        <v>87</v>
      </c>
      <c r="AI29" t="s">
        <v>63</v>
      </c>
      <c r="AJ29" t="s">
        <v>58</v>
      </c>
    </row>
    <row r="30" spans="1:38" s="6" customFormat="1" x14ac:dyDescent="0.3">
      <c r="A30">
        <v>27</v>
      </c>
      <c r="B30" s="23">
        <f t="shared" si="0"/>
        <v>116.15981735159812</v>
      </c>
      <c r="C30" s="15">
        <f t="shared" si="2"/>
        <v>1063.8401826484019</v>
      </c>
      <c r="D30" s="53">
        <f t="shared" si="3"/>
        <v>429.6</v>
      </c>
      <c r="E30" s="15">
        <f t="shared" si="3"/>
        <v>27.506849315068493</v>
      </c>
      <c r="F30" s="15">
        <f t="shared" si="3"/>
        <v>150.19999999999999</v>
      </c>
      <c r="G30" s="53">
        <f t="shared" si="3"/>
        <v>218.4</v>
      </c>
      <c r="H30" s="15">
        <f t="shared" si="3"/>
        <v>0.13333333333332931</v>
      </c>
      <c r="I30" s="15">
        <f t="shared" si="3"/>
        <v>238</v>
      </c>
      <c r="J30" s="15">
        <f t="shared" si="3"/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95</v>
      </c>
      <c r="Q30" s="15">
        <v>0</v>
      </c>
      <c r="R30" s="15" t="s">
        <v>54</v>
      </c>
      <c r="S30" s="15"/>
      <c r="T30" s="15">
        <v>95</v>
      </c>
      <c r="U30" s="15">
        <v>0</v>
      </c>
      <c r="V30" s="15">
        <f t="shared" si="4"/>
        <v>95</v>
      </c>
      <c r="W30" s="106">
        <f>Summary!$C$20*K30+Summary!$C$21*L30+Summary!$C$22*M30+Summary!$C$23*N30+Summary!$C$24*O30+Summary!$C$25*P30+Summary!$C$26*Q30</f>
        <v>948.1</v>
      </c>
      <c r="X30" t="s">
        <v>72</v>
      </c>
      <c r="Y30">
        <v>95</v>
      </c>
      <c r="Z30">
        <v>95</v>
      </c>
      <c r="AA30"/>
      <c r="AB30"/>
      <c r="AC30"/>
      <c r="AD30"/>
      <c r="AE30"/>
      <c r="AF30"/>
      <c r="AG30"/>
      <c r="AH30"/>
      <c r="AI30" t="s">
        <v>71</v>
      </c>
      <c r="AJ30" t="s">
        <v>58</v>
      </c>
      <c r="AK30"/>
      <c r="AL30"/>
    </row>
    <row r="31" spans="1:38" x14ac:dyDescent="0.3">
      <c r="A31">
        <v>28</v>
      </c>
      <c r="B31" s="23">
        <f t="shared" si="0"/>
        <v>211.15981735159812</v>
      </c>
      <c r="C31" s="15">
        <f t="shared" si="2"/>
        <v>968.84018264840188</v>
      </c>
      <c r="D31" s="53">
        <f t="shared" si="3"/>
        <v>429.6</v>
      </c>
      <c r="E31" s="15">
        <f t="shared" si="3"/>
        <v>27.506849315068493</v>
      </c>
      <c r="F31" s="15">
        <f t="shared" si="3"/>
        <v>150.19999999999999</v>
      </c>
      <c r="G31" s="53">
        <f t="shared" si="3"/>
        <v>218.4</v>
      </c>
      <c r="H31" s="15">
        <f t="shared" si="3"/>
        <v>0.13333333333332931</v>
      </c>
      <c r="I31" s="15">
        <f t="shared" si="3"/>
        <v>143</v>
      </c>
      <c r="J31" s="15">
        <f t="shared" si="3"/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95</v>
      </c>
      <c r="Q31" s="15">
        <v>0</v>
      </c>
      <c r="R31" s="15" t="s">
        <v>54</v>
      </c>
      <c r="S31" s="15"/>
      <c r="T31" s="15">
        <v>55</v>
      </c>
      <c r="U31" s="15">
        <v>0</v>
      </c>
      <c r="V31" s="15">
        <f t="shared" si="4"/>
        <v>95</v>
      </c>
      <c r="W31" s="106">
        <f>Summary!$C$20*K31+Summary!$C$21*L31+Summary!$C$22*M31+Summary!$C$23*N31+Summary!$C$24*O31+Summary!$C$25*P31+Summary!$C$26*Q31</f>
        <v>948.1</v>
      </c>
      <c r="X31" t="s">
        <v>72</v>
      </c>
      <c r="Y31">
        <v>55</v>
      </c>
      <c r="Z31">
        <v>95</v>
      </c>
      <c r="AI31" t="s">
        <v>71</v>
      </c>
      <c r="AJ31" t="s">
        <v>73</v>
      </c>
    </row>
    <row r="32" spans="1:38" x14ac:dyDescent="0.3">
      <c r="A32">
        <v>29</v>
      </c>
      <c r="B32" s="23">
        <f t="shared" si="0"/>
        <v>306.15981735159812</v>
      </c>
      <c r="C32" s="15">
        <f t="shared" si="2"/>
        <v>873.84018264840188</v>
      </c>
      <c r="D32" s="53">
        <f t="shared" si="3"/>
        <v>429.6</v>
      </c>
      <c r="E32" s="15">
        <f t="shared" si="3"/>
        <v>27.506849315068493</v>
      </c>
      <c r="F32" s="15">
        <f t="shared" si="3"/>
        <v>150.19999999999999</v>
      </c>
      <c r="G32" s="53">
        <f t="shared" si="3"/>
        <v>218.4</v>
      </c>
      <c r="H32" s="15">
        <f>H31-O32</f>
        <v>0.13333333333332931</v>
      </c>
      <c r="I32" s="15">
        <f>I31-P32</f>
        <v>48</v>
      </c>
      <c r="J32" s="15">
        <f>J31-Q32</f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95</v>
      </c>
      <c r="Q32" s="15">
        <v>0</v>
      </c>
      <c r="R32" s="15" t="s">
        <v>75</v>
      </c>
      <c r="S32" s="15"/>
      <c r="T32" s="15">
        <v>95</v>
      </c>
      <c r="U32" s="15">
        <v>0</v>
      </c>
      <c r="V32" s="15">
        <f t="shared" si="4"/>
        <v>95</v>
      </c>
      <c r="W32" s="106">
        <f>Summary!$C$20*K32+Summary!$C$21*L32+Summary!$C$22*M32+Summary!$C$23*N32+Summary!$C$24*O32+Summary!$C$25*P32+Summary!$C$26*Q32</f>
        <v>948.1</v>
      </c>
      <c r="X32" t="s">
        <v>72</v>
      </c>
      <c r="Y32">
        <v>95</v>
      </c>
      <c r="Z32">
        <v>95</v>
      </c>
      <c r="AI32" t="s">
        <v>71</v>
      </c>
      <c r="AJ32" t="s">
        <v>73</v>
      </c>
    </row>
    <row r="33" spans="1:38" x14ac:dyDescent="0.3">
      <c r="A33">
        <v>30</v>
      </c>
      <c r="B33" s="23">
        <f t="shared" si="0"/>
        <v>401.15981735159812</v>
      </c>
      <c r="C33" s="15">
        <f t="shared" si="2"/>
        <v>778.84018264840188</v>
      </c>
      <c r="D33" s="60">
        <f t="shared" si="3"/>
        <v>395.29</v>
      </c>
      <c r="E33" s="15">
        <f t="shared" si="3"/>
        <v>27.506849315068493</v>
      </c>
      <c r="F33" s="15">
        <f t="shared" si="3"/>
        <v>150.19999999999999</v>
      </c>
      <c r="G33" s="60">
        <f t="shared" si="3"/>
        <v>205.71</v>
      </c>
      <c r="H33" s="15">
        <f t="shared" si="3"/>
        <v>0.13333333333332931</v>
      </c>
      <c r="I33" s="15">
        <f t="shared" si="3"/>
        <v>0</v>
      </c>
      <c r="J33" s="15">
        <f t="shared" si="3"/>
        <v>0</v>
      </c>
      <c r="K33" s="15">
        <f>(95-48)*0.73</f>
        <v>34.31</v>
      </c>
      <c r="L33" s="15">
        <v>0</v>
      </c>
      <c r="M33" s="15">
        <v>0</v>
      </c>
      <c r="N33" s="15">
        <f>(95-48)*0.27</f>
        <v>12.690000000000001</v>
      </c>
      <c r="O33" s="15">
        <v>0</v>
      </c>
      <c r="P33" s="15">
        <v>48</v>
      </c>
      <c r="Q33" s="15">
        <v>0</v>
      </c>
      <c r="R33" s="15" t="s">
        <v>75</v>
      </c>
      <c r="S33" s="15"/>
      <c r="T33" s="15">
        <v>95</v>
      </c>
      <c r="U33" s="15">
        <v>0</v>
      </c>
      <c r="V33" s="15">
        <f t="shared" si="4"/>
        <v>95</v>
      </c>
      <c r="W33" s="106">
        <f>Summary!$C$20*K33+Summary!$C$21*L33+Summary!$C$22*M33+Summary!$C$23*N33+Summary!$C$24*O33+Summary!$C$25*P33+Summary!$C$26*Q33</f>
        <v>1267.0091</v>
      </c>
      <c r="X33" t="s">
        <v>72</v>
      </c>
      <c r="Y33">
        <v>95</v>
      </c>
      <c r="Z33">
        <v>95</v>
      </c>
      <c r="AI33" t="s">
        <v>84</v>
      </c>
      <c r="AJ33" t="s">
        <v>73</v>
      </c>
    </row>
    <row r="34" spans="1:38" x14ac:dyDescent="0.3">
      <c r="A34">
        <v>31</v>
      </c>
      <c r="B34" s="23">
        <f t="shared" si="0"/>
        <v>496.50981735159814</v>
      </c>
      <c r="C34" s="15">
        <f t="shared" si="2"/>
        <v>683.49018264840186</v>
      </c>
      <c r="D34" s="15">
        <f t="shared" si="3"/>
        <v>325.94000000000005</v>
      </c>
      <c r="E34" s="15">
        <f t="shared" si="3"/>
        <v>27.506849315068493</v>
      </c>
      <c r="F34" s="15">
        <f t="shared" si="3"/>
        <v>150.19999999999999</v>
      </c>
      <c r="G34" s="15">
        <f t="shared" si="3"/>
        <v>179.71</v>
      </c>
      <c r="H34" s="15">
        <f t="shared" si="3"/>
        <v>0.13333333333332931</v>
      </c>
      <c r="I34" s="15">
        <f t="shared" si="3"/>
        <v>0</v>
      </c>
      <c r="J34" s="15">
        <f t="shared" si="3"/>
        <v>0</v>
      </c>
      <c r="K34" s="15">
        <f t="shared" ref="K34" si="5">0.73*95</f>
        <v>69.349999999999994</v>
      </c>
      <c r="L34" s="15">
        <v>0</v>
      </c>
      <c r="M34" s="15">
        <v>0</v>
      </c>
      <c r="N34" s="15">
        <v>26</v>
      </c>
      <c r="O34" s="15">
        <v>0</v>
      </c>
      <c r="P34" s="15">
        <v>0</v>
      </c>
      <c r="Q34" s="15">
        <v>0</v>
      </c>
      <c r="R34" s="15"/>
      <c r="S34" s="15"/>
      <c r="T34" s="15"/>
      <c r="U34" s="15"/>
      <c r="V34" s="15">
        <f t="shared" si="4"/>
        <v>95.35</v>
      </c>
      <c r="W34" s="106">
        <f>Summary!$C$20*K34+Summary!$C$21*L34+Summary!$C$22*M34+Summary!$C$23*N34+Summary!$C$24*O34+Summary!$C$25*P34+Summary!$C$26*Q34</f>
        <v>1599.4375</v>
      </c>
      <c r="AJ34" t="s">
        <v>63</v>
      </c>
    </row>
    <row r="35" spans="1:38" x14ac:dyDescent="0.3">
      <c r="A35">
        <v>32</v>
      </c>
      <c r="B35" s="23">
        <f t="shared" si="0"/>
        <v>61.509817351598031</v>
      </c>
      <c r="C35" s="15">
        <f t="shared" si="2"/>
        <v>1118.490182648402</v>
      </c>
      <c r="D35" s="15">
        <f t="shared" si="3"/>
        <v>256.94000000000005</v>
      </c>
      <c r="E35" s="15">
        <f t="shared" si="3"/>
        <v>27.506849315068493</v>
      </c>
      <c r="F35" s="15">
        <f t="shared" si="3"/>
        <v>150.19999999999999</v>
      </c>
      <c r="G35" s="15">
        <f t="shared" si="3"/>
        <v>153.71</v>
      </c>
      <c r="H35" s="53">
        <f>H34-O35 + 150</f>
        <v>150.13333333333333</v>
      </c>
      <c r="I35" s="53">
        <f>I34-P35 + 100</f>
        <v>100</v>
      </c>
      <c r="J35" s="53">
        <f>J34-Q35 + 280</f>
        <v>280</v>
      </c>
      <c r="K35" s="15">
        <v>69</v>
      </c>
      <c r="L35" s="15">
        <v>0</v>
      </c>
      <c r="M35" s="15">
        <v>0</v>
      </c>
      <c r="N35" s="15">
        <v>26</v>
      </c>
      <c r="O35" s="15">
        <v>0</v>
      </c>
      <c r="P35" s="15">
        <v>0</v>
      </c>
      <c r="Q35" s="15">
        <v>0</v>
      </c>
      <c r="R35" s="15"/>
      <c r="S35" s="15"/>
      <c r="T35" s="15"/>
      <c r="U35" s="15"/>
      <c r="V35" s="15">
        <f t="shared" si="4"/>
        <v>95</v>
      </c>
      <c r="W35" s="106">
        <f>Summary!$C$20*K35+Summary!$C$21*L35+Summary!$C$22*M35+Summary!$C$23*N35+Summary!$C$24*O35+Summary!$C$25*P35+Summary!$C$26*Q35</f>
        <v>1593.8899999999999</v>
      </c>
      <c r="AJ35" t="s">
        <v>63</v>
      </c>
    </row>
    <row r="36" spans="1:38" s="6" customFormat="1" x14ac:dyDescent="0.3">
      <c r="A36">
        <v>33</v>
      </c>
      <c r="B36" s="23">
        <f t="shared" si="0"/>
        <v>156.50981735159814</v>
      </c>
      <c r="C36" s="15">
        <f t="shared" si="2"/>
        <v>1023.4901826484019</v>
      </c>
      <c r="D36" s="15">
        <f t="shared" si="3"/>
        <v>187.94000000000005</v>
      </c>
      <c r="E36" s="15">
        <f t="shared" si="3"/>
        <v>27.506849315068493</v>
      </c>
      <c r="F36" s="15">
        <f t="shared" si="3"/>
        <v>150.19999999999999</v>
      </c>
      <c r="G36" s="15">
        <f t="shared" si="3"/>
        <v>127.71000000000001</v>
      </c>
      <c r="H36" s="53">
        <f t="shared" si="3"/>
        <v>150.13333333333333</v>
      </c>
      <c r="I36" s="53">
        <f t="shared" si="3"/>
        <v>100</v>
      </c>
      <c r="J36" s="53">
        <f t="shared" si="3"/>
        <v>280</v>
      </c>
      <c r="K36" s="15">
        <v>69</v>
      </c>
      <c r="L36" s="15">
        <v>0</v>
      </c>
      <c r="M36" s="15">
        <v>0</v>
      </c>
      <c r="N36" s="15">
        <v>26</v>
      </c>
      <c r="O36" s="15">
        <v>0</v>
      </c>
      <c r="P36" s="15">
        <v>0</v>
      </c>
      <c r="Q36" s="15">
        <v>0</v>
      </c>
      <c r="R36" s="15"/>
      <c r="S36" s="15"/>
      <c r="T36" s="15"/>
      <c r="U36" s="15"/>
      <c r="V36" s="15">
        <f t="shared" si="4"/>
        <v>95</v>
      </c>
      <c r="W36" s="106">
        <f>Summary!$C$20*K36+Summary!$C$21*L36+Summary!$C$22*M36+Summary!$C$23*N36+Summary!$C$24*O36+Summary!$C$25*P36+Summary!$C$26*Q36</f>
        <v>1593.8899999999999</v>
      </c>
      <c r="X36"/>
      <c r="Y36"/>
      <c r="Z36"/>
      <c r="AA36"/>
      <c r="AB36"/>
      <c r="AC36"/>
      <c r="AD36"/>
      <c r="AE36"/>
      <c r="AF36"/>
      <c r="AG36"/>
      <c r="AH36"/>
      <c r="AI36"/>
      <c r="AJ36" t="s">
        <v>71</v>
      </c>
      <c r="AK36"/>
      <c r="AL36"/>
    </row>
    <row r="37" spans="1:38" x14ac:dyDescent="0.3">
      <c r="A37">
        <v>34</v>
      </c>
      <c r="B37" s="23">
        <f t="shared" si="0"/>
        <v>251.50981735159814</v>
      </c>
      <c r="C37" s="15">
        <f t="shared" si="2"/>
        <v>928.49018264840186</v>
      </c>
      <c r="D37" s="15">
        <f t="shared" si="3"/>
        <v>118.94000000000005</v>
      </c>
      <c r="E37" s="15">
        <f t="shared" si="3"/>
        <v>27.506849315068493</v>
      </c>
      <c r="F37" s="15">
        <f t="shared" si="3"/>
        <v>150.19999999999999</v>
      </c>
      <c r="G37" s="15">
        <f t="shared" si="3"/>
        <v>101.71000000000001</v>
      </c>
      <c r="H37" s="53">
        <f t="shared" si="3"/>
        <v>150.13333333333333</v>
      </c>
      <c r="I37" s="53">
        <f t="shared" si="3"/>
        <v>100</v>
      </c>
      <c r="J37" s="53">
        <f t="shared" si="3"/>
        <v>280</v>
      </c>
      <c r="K37" s="15">
        <v>69</v>
      </c>
      <c r="L37" s="15">
        <v>0</v>
      </c>
      <c r="M37" s="15">
        <v>0</v>
      </c>
      <c r="N37" s="15">
        <v>26</v>
      </c>
      <c r="O37" s="15">
        <v>0</v>
      </c>
      <c r="P37" s="15">
        <v>0</v>
      </c>
      <c r="Q37" s="15">
        <v>0</v>
      </c>
      <c r="R37" s="15"/>
      <c r="S37" s="15"/>
      <c r="T37" s="15"/>
      <c r="U37" s="15"/>
      <c r="V37" s="15">
        <f>SUM(K37:Q37)</f>
        <v>95</v>
      </c>
      <c r="W37" s="106">
        <f>Summary!$C$20*K37+Summary!$C$21*L37+Summary!$C$22*M37+Summary!$C$23*N37+Summary!$C$24*O37+Summary!$C$25*P37+Summary!$C$26*Q37</f>
        <v>1593.8899999999999</v>
      </c>
      <c r="AJ37" t="s">
        <v>71</v>
      </c>
    </row>
    <row r="38" spans="1:38" x14ac:dyDescent="0.3">
      <c r="A38">
        <v>35</v>
      </c>
      <c r="B38" s="23">
        <f t="shared" si="0"/>
        <v>346.50981735159814</v>
      </c>
      <c r="C38" s="15">
        <f t="shared" si="2"/>
        <v>833.49018264840186</v>
      </c>
      <c r="D38" s="15">
        <f t="shared" si="3"/>
        <v>49.940000000000055</v>
      </c>
      <c r="E38" s="15">
        <f t="shared" si="3"/>
        <v>27.506849315068493</v>
      </c>
      <c r="F38" s="15">
        <f t="shared" si="3"/>
        <v>150.19999999999999</v>
      </c>
      <c r="G38" s="15">
        <f t="shared" si="3"/>
        <v>75.710000000000008</v>
      </c>
      <c r="H38" s="53">
        <f t="shared" si="3"/>
        <v>150.13333333333333</v>
      </c>
      <c r="I38" s="53">
        <f t="shared" si="3"/>
        <v>100</v>
      </c>
      <c r="J38" s="53">
        <f t="shared" si="3"/>
        <v>280</v>
      </c>
      <c r="K38" s="15">
        <v>69</v>
      </c>
      <c r="L38" s="15">
        <v>0</v>
      </c>
      <c r="M38" s="15">
        <v>0</v>
      </c>
      <c r="N38" s="15">
        <v>26</v>
      </c>
      <c r="O38" s="15">
        <v>0</v>
      </c>
      <c r="P38" s="15">
        <v>0</v>
      </c>
      <c r="Q38" s="15">
        <v>0</v>
      </c>
      <c r="R38" s="15"/>
      <c r="S38" s="15"/>
      <c r="T38" s="15"/>
      <c r="U38" s="15"/>
      <c r="V38" s="15">
        <f t="shared" si="4"/>
        <v>95</v>
      </c>
      <c r="W38" s="106">
        <f>Summary!$C$20*K38+Summary!$C$21*L38+Summary!$C$22*M38+Summary!$C$23*N38+Summary!$C$24*O38+Summary!$C$25*P38+Summary!$C$26*Q38</f>
        <v>1593.8899999999999</v>
      </c>
      <c r="AJ38" t="s">
        <v>71</v>
      </c>
    </row>
    <row r="39" spans="1:38" x14ac:dyDescent="0.3">
      <c r="A39">
        <v>36</v>
      </c>
      <c r="B39" s="23">
        <f t="shared" si="0"/>
        <v>442.00296803652964</v>
      </c>
      <c r="C39" s="15">
        <f t="shared" si="2"/>
        <v>737.99703196347036</v>
      </c>
      <c r="D39" s="15">
        <f t="shared" si="3"/>
        <v>-5.999999999994543E-2</v>
      </c>
      <c r="E39" s="15">
        <f t="shared" si="3"/>
        <v>27.506849315068493</v>
      </c>
      <c r="F39" s="15">
        <f t="shared" si="3"/>
        <v>134</v>
      </c>
      <c r="G39" s="15">
        <f t="shared" si="3"/>
        <v>57.216849315068501</v>
      </c>
      <c r="H39" s="60">
        <f t="shared" si="3"/>
        <v>139.33333333333331</v>
      </c>
      <c r="I39" s="60">
        <f t="shared" si="3"/>
        <v>100</v>
      </c>
      <c r="J39" s="60">
        <f t="shared" si="3"/>
        <v>280</v>
      </c>
      <c r="K39" s="15">
        <v>50</v>
      </c>
      <c r="L39" s="15">
        <v>0</v>
      </c>
      <c r="M39" s="15">
        <f xml:space="preserve"> (95-68)*0.6</f>
        <v>16.2</v>
      </c>
      <c r="N39" s="15">
        <f>50/73*27</f>
        <v>18.493150684931507</v>
      </c>
      <c r="O39" s="15">
        <f xml:space="preserve"> (95-68)*0.4</f>
        <v>10.8</v>
      </c>
      <c r="P39" s="15">
        <v>0</v>
      </c>
      <c r="Q39" s="15">
        <v>0</v>
      </c>
      <c r="R39" s="15"/>
      <c r="S39" s="15"/>
      <c r="T39" s="15"/>
      <c r="U39" s="15"/>
      <c r="V39" s="15">
        <f t="shared" si="4"/>
        <v>95.493150684931507</v>
      </c>
      <c r="W39" s="106">
        <f>Summary!$C$20*K39+Summary!$C$21*L39+Summary!$C$22*M39+Summary!$C$23*N39+Summary!$C$24*O39+Summary!$C$25*P39+Summary!$C$26*Q39</f>
        <v>1523.6622191780823</v>
      </c>
      <c r="AJ39" t="s">
        <v>126</v>
      </c>
    </row>
    <row r="40" spans="1:38" x14ac:dyDescent="0.3">
      <c r="A40">
        <v>37</v>
      </c>
      <c r="B40" s="23">
        <f t="shared" si="0"/>
        <v>537.00296803652964</v>
      </c>
      <c r="C40" s="15">
        <f t="shared" si="2"/>
        <v>642.99703196347036</v>
      </c>
      <c r="D40" s="15">
        <f t="shared" si="3"/>
        <v>-5.999999999994543E-2</v>
      </c>
      <c r="E40" s="15">
        <f t="shared" si="3"/>
        <v>27.506849315068493</v>
      </c>
      <c r="F40" s="15">
        <f t="shared" si="3"/>
        <v>77</v>
      </c>
      <c r="G40" s="15">
        <f t="shared" si="3"/>
        <v>57.216849315068501</v>
      </c>
      <c r="H40" s="15">
        <f t="shared" si="3"/>
        <v>101.33333333333331</v>
      </c>
      <c r="I40" s="15">
        <f t="shared" si="3"/>
        <v>100</v>
      </c>
      <c r="J40" s="15">
        <f t="shared" si="3"/>
        <v>280</v>
      </c>
      <c r="K40" s="15">
        <v>0</v>
      </c>
      <c r="L40" s="15">
        <v>0</v>
      </c>
      <c r="M40" s="15">
        <v>57</v>
      </c>
      <c r="N40" s="15">
        <v>0</v>
      </c>
      <c r="O40" s="15">
        <v>38</v>
      </c>
      <c r="P40" s="15">
        <v>0</v>
      </c>
      <c r="Q40" s="15">
        <v>0</v>
      </c>
      <c r="R40" s="15"/>
      <c r="S40" s="15"/>
      <c r="T40" s="15"/>
      <c r="U40" s="15"/>
      <c r="V40" s="15">
        <f t="shared" si="4"/>
        <v>95</v>
      </c>
      <c r="W40" s="106">
        <f>Summary!$C$20*K40+Summary!$C$21*L40+Summary!$C$22*M40+Summary!$C$23*N40+Summary!$C$24*O40+Summary!$C$25*P40+Summary!$C$26*Q40</f>
        <v>1320.69</v>
      </c>
    </row>
    <row r="41" spans="1:38" x14ac:dyDescent="0.3">
      <c r="A41">
        <v>38</v>
      </c>
      <c r="B41" s="23">
        <f t="shared" si="0"/>
        <v>632.00296803652964</v>
      </c>
      <c r="C41" s="15">
        <f t="shared" si="2"/>
        <v>547.99703196347036</v>
      </c>
      <c r="D41" s="15">
        <f t="shared" si="3"/>
        <v>-5.999999999994543E-2</v>
      </c>
      <c r="E41" s="15">
        <f t="shared" si="3"/>
        <v>27.506849315068493</v>
      </c>
      <c r="F41" s="15">
        <f t="shared" si="3"/>
        <v>20</v>
      </c>
      <c r="G41" s="15">
        <f t="shared" si="3"/>
        <v>57.216849315068501</v>
      </c>
      <c r="H41" s="15">
        <f t="shared" si="3"/>
        <v>63.333333333333314</v>
      </c>
      <c r="I41" s="15">
        <f t="shared" si="3"/>
        <v>100</v>
      </c>
      <c r="J41" s="15">
        <f t="shared" si="3"/>
        <v>280</v>
      </c>
      <c r="K41" s="15">
        <v>0</v>
      </c>
      <c r="L41" s="15">
        <v>0</v>
      </c>
      <c r="M41" s="15">
        <v>57</v>
      </c>
      <c r="N41" s="15">
        <v>0</v>
      </c>
      <c r="O41" s="15">
        <v>38</v>
      </c>
      <c r="P41" s="15">
        <v>0</v>
      </c>
      <c r="Q41" s="15">
        <v>0</v>
      </c>
      <c r="R41" s="15"/>
      <c r="S41" s="15"/>
      <c r="T41" s="15"/>
      <c r="U41" s="15"/>
      <c r="V41" s="15">
        <f t="shared" si="4"/>
        <v>95</v>
      </c>
      <c r="W41" s="106">
        <f>Summary!$C$20*K41+Summary!$C$21*L41+Summary!$C$22*M41+Summary!$C$23*N41+Summary!$C$24*O41+Summary!$C$25*P41+Summary!$C$26*Q41</f>
        <v>1320.69</v>
      </c>
    </row>
    <row r="42" spans="1:38" x14ac:dyDescent="0.3">
      <c r="A42">
        <v>39</v>
      </c>
      <c r="B42" s="23">
        <f t="shared" si="0"/>
        <v>727.33630136986289</v>
      </c>
      <c r="C42" s="15">
        <f t="shared" si="2"/>
        <v>452.66369863013705</v>
      </c>
      <c r="D42" s="15">
        <f t="shared" si="3"/>
        <v>-5.999999999994543E-2</v>
      </c>
      <c r="E42" s="15">
        <f t="shared" si="3"/>
        <v>27.506849315068493</v>
      </c>
      <c r="F42" s="15">
        <f t="shared" si="3"/>
        <v>0</v>
      </c>
      <c r="G42" s="15">
        <f t="shared" si="3"/>
        <v>57.216849315068501</v>
      </c>
      <c r="H42" s="15">
        <f t="shared" si="3"/>
        <v>49.999999999999986</v>
      </c>
      <c r="I42" s="15">
        <f t="shared" si="3"/>
        <v>100</v>
      </c>
      <c r="J42" s="15">
        <f t="shared" si="3"/>
        <v>218</v>
      </c>
      <c r="K42" s="15">
        <v>0</v>
      </c>
      <c r="L42" s="15">
        <v>0</v>
      </c>
      <c r="M42" s="15">
        <v>20</v>
      </c>
      <c r="N42" s="15">
        <v>0</v>
      </c>
      <c r="O42" s="15">
        <f>20/60*40</f>
        <v>13.333333333333332</v>
      </c>
      <c r="P42" s="15">
        <v>0</v>
      </c>
      <c r="Q42" s="15">
        <f>95-33</f>
        <v>62</v>
      </c>
      <c r="R42" s="15"/>
      <c r="S42" s="15"/>
      <c r="T42" s="15"/>
      <c r="U42" s="15"/>
      <c r="V42" s="15">
        <f t="shared" si="4"/>
        <v>95.333333333333329</v>
      </c>
      <c r="W42" s="106">
        <f>Summary!$C$20*K42+Summary!$C$21*L42+Summary!$C$22*M42+Summary!$C$23*N42+Summary!$C$24*O42+Summary!$C$25*P42+Summary!$C$26*Q42</f>
        <v>1081.54</v>
      </c>
    </row>
    <row r="43" spans="1:38" x14ac:dyDescent="0.3">
      <c r="A43">
        <v>40</v>
      </c>
      <c r="B43" s="23">
        <f t="shared" si="0"/>
        <v>822.33630136986289</v>
      </c>
      <c r="C43" s="15">
        <f t="shared" si="2"/>
        <v>357.66369863013705</v>
      </c>
      <c r="D43" s="15">
        <f t="shared" si="3"/>
        <v>-5.999999999994543E-2</v>
      </c>
      <c r="E43" s="15">
        <f t="shared" si="3"/>
        <v>27.506849315068493</v>
      </c>
      <c r="F43" s="15">
        <f t="shared" si="3"/>
        <v>0</v>
      </c>
      <c r="G43" s="15">
        <f t="shared" si="3"/>
        <v>57.216849315068501</v>
      </c>
      <c r="H43" s="15">
        <f t="shared" si="3"/>
        <v>49.999999999999986</v>
      </c>
      <c r="I43" s="15">
        <f t="shared" si="3"/>
        <v>100</v>
      </c>
      <c r="J43" s="15">
        <f t="shared" si="3"/>
        <v>123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95</v>
      </c>
      <c r="R43" s="15"/>
      <c r="S43" s="15"/>
      <c r="T43" s="15"/>
      <c r="U43" s="15"/>
      <c r="V43" s="15">
        <f t="shared" si="4"/>
        <v>95</v>
      </c>
      <c r="W43" s="106">
        <f>Summary!$C$20*K43+Summary!$C$21*L43+Summary!$C$22*M43+Summary!$C$23*N43+Summary!$C$24*O43+Summary!$C$25*P43+Summary!$C$26*Q43</f>
        <v>947.15000000000009</v>
      </c>
    </row>
    <row r="44" spans="1:38" x14ac:dyDescent="0.3">
      <c r="B44" s="23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09">
        <f>SUM(W4:W43)</f>
        <v>48171.737312328776</v>
      </c>
    </row>
    <row r="45" spans="1:38" x14ac:dyDescent="0.3">
      <c r="Q45" t="s">
        <v>86</v>
      </c>
      <c r="V45" s="113">
        <f>AVERAGE(V4:V33)</f>
        <v>88.371993911719954</v>
      </c>
      <c r="W45" t="s">
        <v>87</v>
      </c>
    </row>
    <row r="46" spans="1:38" x14ac:dyDescent="0.3">
      <c r="Q46" t="s">
        <v>88</v>
      </c>
      <c r="V46" s="113">
        <f>AVERAGE(V4:V43)</f>
        <v>90.058407534246584</v>
      </c>
      <c r="W46" t="s">
        <v>87</v>
      </c>
    </row>
    <row r="47" spans="1:38" x14ac:dyDescent="0.3">
      <c r="W47" s="28"/>
    </row>
    <row r="48" spans="1:38" x14ac:dyDescent="0.3">
      <c r="Q48" t="s">
        <v>89</v>
      </c>
      <c r="V48" s="117">
        <f>SUM(V4:V43)</f>
        <v>3602.3363013698636</v>
      </c>
      <c r="W48" t="s">
        <v>90</v>
      </c>
    </row>
    <row r="49" spans="17:32" x14ac:dyDescent="0.3">
      <c r="Q49" t="s">
        <v>91</v>
      </c>
      <c r="V49">
        <f>C3</f>
        <v>1050</v>
      </c>
      <c r="W49" t="s">
        <v>90</v>
      </c>
    </row>
    <row r="50" spans="17:32" x14ac:dyDescent="0.3">
      <c r="Q50" t="s">
        <v>92</v>
      </c>
      <c r="V50">
        <v>2910</v>
      </c>
      <c r="W50" t="s">
        <v>90</v>
      </c>
    </row>
    <row r="51" spans="17:32" x14ac:dyDescent="0.3">
      <c r="Q51" t="s">
        <v>93</v>
      </c>
      <c r="V51">
        <f>C45</f>
        <v>0</v>
      </c>
      <c r="W51" t="s">
        <v>90</v>
      </c>
      <c r="AF51">
        <f>V49+V50</f>
        <v>3960</v>
      </c>
    </row>
    <row r="52" spans="17:32" x14ac:dyDescent="0.3">
      <c r="AF52">
        <f>AF51-V48</f>
        <v>357.66369863013642</v>
      </c>
    </row>
    <row r="54" spans="17:32" x14ac:dyDescent="0.3">
      <c r="Q54" t="s">
        <v>94</v>
      </c>
      <c r="V54" s="27">
        <v>12</v>
      </c>
      <c r="W54" t="s">
        <v>95</v>
      </c>
    </row>
    <row r="56" spans="17:32" x14ac:dyDescent="0.3">
      <c r="W56" s="15"/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09D1-7BCE-46CD-BAB8-85C58D5F0239}">
  <dimension ref="A1:AM56"/>
  <sheetViews>
    <sheetView zoomScale="70" zoomScaleNormal="80" workbookViewId="0">
      <pane xSplit="1" ySplit="2" topLeftCell="B18" activePane="bottomRight" state="frozen"/>
      <selection pane="topRight" activeCell="B1" sqref="B1"/>
      <selection pane="bottomLeft" activeCell="A2" sqref="A2"/>
      <selection pane="bottomRight" activeCell="AH45" sqref="AH45"/>
    </sheetView>
  </sheetViews>
  <sheetFormatPr defaultRowHeight="14.4" x14ac:dyDescent="0.3"/>
  <cols>
    <col min="1" max="1" width="7.33203125" customWidth="1"/>
    <col min="2" max="2" width="8.33203125" customWidth="1"/>
    <col min="3" max="3" width="9.6640625" customWidth="1"/>
    <col min="4" max="4" width="14.33203125" bestFit="1" customWidth="1"/>
    <col min="5" max="5" width="12" bestFit="1" customWidth="1"/>
    <col min="6" max="7" width="12.109375" bestFit="1" customWidth="1"/>
    <col min="8" max="8" width="11.5546875" bestFit="1" customWidth="1"/>
    <col min="9" max="10" width="11.33203125" bestFit="1" customWidth="1"/>
    <col min="11" max="16" width="11.44140625" customWidth="1"/>
    <col min="17" max="17" width="12.33203125" customWidth="1"/>
    <col min="18" max="21" width="15.6640625" hidden="1" customWidth="1"/>
    <col min="22" max="22" width="12" customWidth="1"/>
    <col min="23" max="23" width="12.88671875" customWidth="1"/>
    <col min="24" max="26" width="15.6640625" hidden="1" customWidth="1"/>
    <col min="27" max="27" width="8.6640625" hidden="1" customWidth="1"/>
    <col min="28" max="31" width="9.109375" hidden="1" customWidth="1"/>
    <col min="32" max="32" width="15" bestFit="1" customWidth="1"/>
    <col min="33" max="33" width="21.6640625" bestFit="1" customWidth="1"/>
    <col min="34" max="34" width="27.33203125" customWidth="1"/>
    <col min="35" max="36" width="32.109375" customWidth="1"/>
    <col min="37" max="37" width="20" customWidth="1"/>
  </cols>
  <sheetData>
    <row r="1" spans="1:39" x14ac:dyDescent="0.3">
      <c r="B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39" ht="28.8" x14ac:dyDescent="0.3">
      <c r="A2" s="1" t="s">
        <v>16</v>
      </c>
      <c r="B2" s="7" t="s">
        <v>17</v>
      </c>
      <c r="C2" s="7" t="s">
        <v>109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7" t="s">
        <v>209</v>
      </c>
      <c r="X2" s="1" t="s">
        <v>38</v>
      </c>
      <c r="Y2" s="1" t="s">
        <v>39</v>
      </c>
      <c r="Z2" s="1" t="s">
        <v>40</v>
      </c>
      <c r="AA2" s="2" t="s">
        <v>41</v>
      </c>
      <c r="AB2" s="2" t="s">
        <v>42</v>
      </c>
      <c r="AC2" s="2" t="s">
        <v>43</v>
      </c>
      <c r="AD2" s="2" t="s">
        <v>44</v>
      </c>
      <c r="AE2" s="2" t="s">
        <v>45</v>
      </c>
      <c r="AF2" s="8" t="s">
        <v>46</v>
      </c>
      <c r="AG2" s="8" t="s">
        <v>47</v>
      </c>
      <c r="AH2" s="8" t="s">
        <v>48</v>
      </c>
      <c r="AI2" s="8" t="s">
        <v>49</v>
      </c>
      <c r="AJ2" s="8" t="s">
        <v>50</v>
      </c>
      <c r="AK2" s="2" t="s">
        <v>51</v>
      </c>
      <c r="AL2" s="2" t="s">
        <v>52</v>
      </c>
    </row>
    <row r="3" spans="1:39" x14ac:dyDescent="0.3">
      <c r="A3" s="5">
        <v>0</v>
      </c>
      <c r="B3" s="23">
        <f>1180-C3</f>
        <v>130</v>
      </c>
      <c r="C3" s="5">
        <f>SUM(D3:J3)</f>
        <v>1050</v>
      </c>
      <c r="D3" s="5">
        <v>350</v>
      </c>
      <c r="E3" s="5">
        <v>0</v>
      </c>
      <c r="F3" s="5">
        <v>150</v>
      </c>
      <c r="G3" s="5">
        <v>150</v>
      </c>
      <c r="H3" s="5">
        <v>100</v>
      </c>
      <c r="I3" s="5">
        <v>0</v>
      </c>
      <c r="J3" s="5">
        <v>300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/>
      <c r="S3" s="5"/>
      <c r="T3" s="5"/>
      <c r="U3" s="5"/>
      <c r="V3" s="5">
        <v>0</v>
      </c>
      <c r="W3" s="78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9" x14ac:dyDescent="0.3">
      <c r="A4">
        <v>1</v>
      </c>
      <c r="B4" s="23">
        <f t="shared" ref="B4:B43" si="0">1180-C4</f>
        <v>225</v>
      </c>
      <c r="C4" s="15">
        <f>SUM(D4:J4)</f>
        <v>955</v>
      </c>
      <c r="D4" s="15">
        <f>D3-K4</f>
        <v>280.7</v>
      </c>
      <c r="E4" s="15">
        <f t="shared" ref="E4:J19" si="1">E3-L4</f>
        <v>0</v>
      </c>
      <c r="F4" s="15">
        <f t="shared" si="1"/>
        <v>150</v>
      </c>
      <c r="G4" s="15">
        <f t="shared" si="1"/>
        <v>124.3</v>
      </c>
      <c r="H4" s="15">
        <f t="shared" si="1"/>
        <v>100</v>
      </c>
      <c r="I4" s="15">
        <f t="shared" si="1"/>
        <v>0</v>
      </c>
      <c r="J4" s="15">
        <f t="shared" si="1"/>
        <v>300</v>
      </c>
      <c r="K4" s="15">
        <v>69.3</v>
      </c>
      <c r="L4" s="15">
        <v>0</v>
      </c>
      <c r="M4" s="15">
        <v>0</v>
      </c>
      <c r="N4" s="15">
        <v>25.7</v>
      </c>
      <c r="O4" s="15">
        <v>0</v>
      </c>
      <c r="P4" s="15">
        <v>0</v>
      </c>
      <c r="Q4" s="15">
        <v>0</v>
      </c>
      <c r="R4" s="15" t="s">
        <v>53</v>
      </c>
      <c r="S4" s="15" t="s">
        <v>54</v>
      </c>
      <c r="T4" s="15">
        <v>57.599999999999987</v>
      </c>
      <c r="U4" s="15">
        <v>38.4</v>
      </c>
      <c r="V4" s="15">
        <f>SUM(K4:Q4)</f>
        <v>95</v>
      </c>
      <c r="W4" s="106">
        <f>Summary!$C$20*K4+Summary!$C$21*L4+Summary!$C$22*M4+Summary!$C$23*N4+Summary!$C$24*O4+Summary!$C$25*P4+Summary!$C$26*Q4</f>
        <v>1592.873</v>
      </c>
      <c r="X4" t="s">
        <v>55</v>
      </c>
      <c r="Y4">
        <v>96</v>
      </c>
      <c r="Z4">
        <v>96</v>
      </c>
      <c r="AF4" t="s">
        <v>132</v>
      </c>
      <c r="AG4" s="5"/>
      <c r="AH4" s="5"/>
      <c r="AI4" s="5"/>
      <c r="AJ4" s="5"/>
    </row>
    <row r="5" spans="1:39" x14ac:dyDescent="0.3">
      <c r="A5">
        <v>2</v>
      </c>
      <c r="B5" s="23">
        <f t="shared" si="0"/>
        <v>320</v>
      </c>
      <c r="C5" s="15">
        <f t="shared" ref="C5:C43" si="2">SUM(D5:J5)</f>
        <v>860</v>
      </c>
      <c r="D5" s="15">
        <f t="shared" ref="D5:J43" si="3">D4-K5</f>
        <v>211.39999999999998</v>
      </c>
      <c r="E5" s="15">
        <f t="shared" si="1"/>
        <v>0</v>
      </c>
      <c r="F5" s="15">
        <f t="shared" si="1"/>
        <v>150</v>
      </c>
      <c r="G5" s="15">
        <f t="shared" si="1"/>
        <v>98.6</v>
      </c>
      <c r="H5" s="15">
        <f t="shared" si="1"/>
        <v>100</v>
      </c>
      <c r="I5" s="15">
        <f t="shared" si="1"/>
        <v>0</v>
      </c>
      <c r="J5" s="15">
        <f t="shared" si="1"/>
        <v>300</v>
      </c>
      <c r="K5" s="15">
        <v>69.3</v>
      </c>
      <c r="L5" s="15">
        <v>0</v>
      </c>
      <c r="M5" s="15">
        <v>0</v>
      </c>
      <c r="N5" s="15">
        <v>25.7</v>
      </c>
      <c r="O5" s="15">
        <v>0</v>
      </c>
      <c r="P5" s="15">
        <v>0</v>
      </c>
      <c r="Q5" s="15">
        <v>0</v>
      </c>
      <c r="R5" s="15" t="s">
        <v>53</v>
      </c>
      <c r="S5" s="15" t="s">
        <v>54</v>
      </c>
      <c r="T5" s="15">
        <v>57.599999999999987</v>
      </c>
      <c r="U5" s="15">
        <v>38.4</v>
      </c>
      <c r="V5" s="15">
        <f t="shared" ref="V5:V43" si="4">SUM(K5:Q5)</f>
        <v>95</v>
      </c>
      <c r="W5" s="106">
        <f>Summary!$C$20*K5+Summary!$C$21*L5+Summary!$C$22*M5+Summary!$C$23*N5+Summary!$C$24*O5+Summary!$C$25*P5+Summary!$C$26*Q5</f>
        <v>1592.873</v>
      </c>
      <c r="X5" t="s">
        <v>55</v>
      </c>
      <c r="Y5">
        <v>96</v>
      </c>
      <c r="Z5">
        <v>96</v>
      </c>
      <c r="AF5" t="s">
        <v>133</v>
      </c>
      <c r="AG5" s="5"/>
      <c r="AH5" s="5"/>
      <c r="AI5" s="5"/>
      <c r="AJ5" s="5"/>
    </row>
    <row r="6" spans="1:39" x14ac:dyDescent="0.3">
      <c r="A6">
        <v>3</v>
      </c>
      <c r="B6" s="23">
        <f t="shared" si="0"/>
        <v>415</v>
      </c>
      <c r="C6" s="15">
        <f t="shared" si="2"/>
        <v>765</v>
      </c>
      <c r="D6" s="15">
        <f t="shared" si="3"/>
        <v>142.09999999999997</v>
      </c>
      <c r="E6" s="15">
        <f t="shared" si="1"/>
        <v>0</v>
      </c>
      <c r="F6" s="15">
        <f t="shared" si="1"/>
        <v>150</v>
      </c>
      <c r="G6" s="15">
        <f t="shared" si="1"/>
        <v>72.899999999999991</v>
      </c>
      <c r="H6" s="15">
        <f t="shared" si="1"/>
        <v>100</v>
      </c>
      <c r="I6" s="15">
        <f t="shared" si="1"/>
        <v>0</v>
      </c>
      <c r="J6" s="15">
        <f t="shared" si="1"/>
        <v>300</v>
      </c>
      <c r="K6" s="15">
        <v>69.3</v>
      </c>
      <c r="L6" s="15">
        <v>0</v>
      </c>
      <c r="M6" s="15">
        <v>0</v>
      </c>
      <c r="N6" s="15">
        <v>25.7</v>
      </c>
      <c r="O6" s="15">
        <v>0</v>
      </c>
      <c r="P6" s="15">
        <v>0</v>
      </c>
      <c r="Q6" s="15">
        <v>0</v>
      </c>
      <c r="R6" s="15" t="s">
        <v>53</v>
      </c>
      <c r="S6" s="15" t="s">
        <v>54</v>
      </c>
      <c r="T6" s="15">
        <v>34.799999999999997</v>
      </c>
      <c r="U6" s="15">
        <v>23.2</v>
      </c>
      <c r="V6" s="15">
        <f t="shared" si="4"/>
        <v>95</v>
      </c>
      <c r="W6" s="106">
        <f>Summary!$C$20*K6+Summary!$C$21*L6+Summary!$C$22*M6+Summary!$C$23*N6+Summary!$C$24*O6+Summary!$C$25*P6+Summary!$C$26*Q6</f>
        <v>1592.873</v>
      </c>
      <c r="X6" t="s">
        <v>55</v>
      </c>
      <c r="Y6">
        <v>58.000000000000007</v>
      </c>
      <c r="Z6">
        <v>96</v>
      </c>
      <c r="AF6" t="s">
        <v>58</v>
      </c>
      <c r="AG6" s="5"/>
      <c r="AH6" s="5"/>
      <c r="AI6" s="5"/>
      <c r="AJ6" s="5"/>
    </row>
    <row r="7" spans="1:39" x14ac:dyDescent="0.3">
      <c r="A7">
        <v>4</v>
      </c>
      <c r="B7" s="23">
        <f t="shared" si="0"/>
        <v>510</v>
      </c>
      <c r="C7" s="15">
        <f t="shared" si="2"/>
        <v>670</v>
      </c>
      <c r="D7" s="15">
        <f t="shared" si="3"/>
        <v>72.799999999999969</v>
      </c>
      <c r="E7" s="15">
        <f t="shared" si="1"/>
        <v>0</v>
      </c>
      <c r="F7" s="15">
        <f t="shared" si="1"/>
        <v>150</v>
      </c>
      <c r="G7" s="15">
        <f t="shared" si="1"/>
        <v>47.199999999999989</v>
      </c>
      <c r="H7" s="15">
        <f t="shared" si="1"/>
        <v>100</v>
      </c>
      <c r="I7" s="15">
        <f t="shared" si="1"/>
        <v>0</v>
      </c>
      <c r="J7" s="15">
        <f t="shared" si="1"/>
        <v>300</v>
      </c>
      <c r="K7" s="15">
        <v>69.3</v>
      </c>
      <c r="L7" s="15">
        <v>0</v>
      </c>
      <c r="M7" s="15">
        <v>0</v>
      </c>
      <c r="N7" s="15">
        <v>25.7</v>
      </c>
      <c r="O7" s="15">
        <v>0</v>
      </c>
      <c r="P7" s="15">
        <v>0</v>
      </c>
      <c r="Q7" s="15">
        <v>0</v>
      </c>
      <c r="R7" s="15" t="s">
        <v>59</v>
      </c>
      <c r="S7" s="15" t="s">
        <v>60</v>
      </c>
      <c r="T7" s="15">
        <v>25.65</v>
      </c>
      <c r="U7" s="15">
        <v>69.349999999999994</v>
      </c>
      <c r="V7" s="15">
        <f t="shared" si="4"/>
        <v>95</v>
      </c>
      <c r="W7" s="106">
        <f>Summary!$C$20*K7+Summary!$C$21*L7+Summary!$C$22*M7+Summary!$C$23*N7+Summary!$C$24*O7+Summary!$C$25*P7+Summary!$C$26*Q7</f>
        <v>1592.873</v>
      </c>
      <c r="X7" t="s">
        <v>61</v>
      </c>
      <c r="Y7">
        <v>95</v>
      </c>
      <c r="Z7">
        <v>95</v>
      </c>
      <c r="AF7" t="s">
        <v>58</v>
      </c>
      <c r="AG7" s="5"/>
      <c r="AH7" s="5"/>
      <c r="AI7" s="5"/>
      <c r="AJ7" s="5"/>
    </row>
    <row r="8" spans="1:39" x14ac:dyDescent="0.3">
      <c r="A8">
        <v>5</v>
      </c>
      <c r="B8" s="23">
        <f t="shared" si="0"/>
        <v>605</v>
      </c>
      <c r="C8" s="15">
        <f>SUM(D8:J8)</f>
        <v>575</v>
      </c>
      <c r="D8" s="15">
        <f t="shared" si="3"/>
        <v>3.4999999999999716</v>
      </c>
      <c r="E8" s="15">
        <f t="shared" si="1"/>
        <v>0</v>
      </c>
      <c r="F8" s="15">
        <f t="shared" si="1"/>
        <v>150</v>
      </c>
      <c r="G8" s="15">
        <f t="shared" si="1"/>
        <v>21.499999999999989</v>
      </c>
      <c r="H8" s="15">
        <f t="shared" si="1"/>
        <v>100</v>
      </c>
      <c r="I8" s="15">
        <f t="shared" si="1"/>
        <v>0</v>
      </c>
      <c r="J8" s="15">
        <f t="shared" si="1"/>
        <v>300</v>
      </c>
      <c r="K8" s="15">
        <v>69.3</v>
      </c>
      <c r="L8" s="15">
        <v>0</v>
      </c>
      <c r="M8" s="15">
        <v>0</v>
      </c>
      <c r="N8" s="15">
        <v>25.7</v>
      </c>
      <c r="O8" s="15">
        <v>0</v>
      </c>
      <c r="P8" s="15">
        <v>0</v>
      </c>
      <c r="Q8" s="15">
        <v>0</v>
      </c>
      <c r="R8" s="15" t="s">
        <v>62</v>
      </c>
      <c r="S8" s="15" t="s">
        <v>60</v>
      </c>
      <c r="T8" s="15">
        <v>25.92</v>
      </c>
      <c r="U8" s="15">
        <v>70.08</v>
      </c>
      <c r="V8" s="15">
        <f t="shared" si="4"/>
        <v>95</v>
      </c>
      <c r="W8" s="106">
        <f>Summary!$C$20*K8+Summary!$C$21*L8+Summary!$C$22*M8+Summary!$C$23*N8+Summary!$C$24*O8+Summary!$C$25*P8+Summary!$C$26*Q8</f>
        <v>1592.873</v>
      </c>
      <c r="X8" t="s">
        <v>61</v>
      </c>
      <c r="Y8">
        <v>96</v>
      </c>
      <c r="Z8">
        <v>96</v>
      </c>
      <c r="AF8" t="s">
        <v>63</v>
      </c>
      <c r="AG8" s="5" t="s">
        <v>64</v>
      </c>
      <c r="AH8" s="5"/>
      <c r="AI8" s="5"/>
      <c r="AJ8" s="5"/>
    </row>
    <row r="9" spans="1:39" x14ac:dyDescent="0.3">
      <c r="A9">
        <v>6</v>
      </c>
      <c r="B9" s="23">
        <f t="shared" si="0"/>
        <v>150</v>
      </c>
      <c r="C9" s="15">
        <f t="shared" si="2"/>
        <v>1030</v>
      </c>
      <c r="D9" s="53">
        <f>D8-K9 + 400</f>
        <v>403.5</v>
      </c>
      <c r="E9" s="53">
        <f>E8-L9 + 150</f>
        <v>150</v>
      </c>
      <c r="F9" s="15">
        <f t="shared" si="1"/>
        <v>150</v>
      </c>
      <c r="G9" s="15">
        <f t="shared" si="1"/>
        <v>21.499999999999989</v>
      </c>
      <c r="H9" s="15">
        <f t="shared" si="1"/>
        <v>100</v>
      </c>
      <c r="I9" s="15">
        <f t="shared" si="1"/>
        <v>0</v>
      </c>
      <c r="J9" s="15">
        <f t="shared" si="1"/>
        <v>205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95</v>
      </c>
      <c r="R9" s="15" t="s">
        <v>62</v>
      </c>
      <c r="S9" s="15" t="s">
        <v>60</v>
      </c>
      <c r="T9" s="15">
        <v>25.92</v>
      </c>
      <c r="U9" s="15">
        <v>70.08</v>
      </c>
      <c r="V9" s="15">
        <f t="shared" si="4"/>
        <v>95</v>
      </c>
      <c r="W9" s="106">
        <f>Summary!$C$20*K9+Summary!$C$21*L9+Summary!$C$22*M9+Summary!$C$23*N9+Summary!$C$24*O9+Summary!$C$25*P9+Summary!$C$26*Q9</f>
        <v>947.15000000000009</v>
      </c>
      <c r="X9" t="s">
        <v>61</v>
      </c>
      <c r="Y9">
        <v>96</v>
      </c>
      <c r="Z9">
        <v>96</v>
      </c>
      <c r="AF9" t="s">
        <v>63</v>
      </c>
      <c r="AG9" s="5" t="s">
        <v>65</v>
      </c>
      <c r="AH9" s="5"/>
      <c r="AI9" s="5"/>
      <c r="AJ9" s="5"/>
    </row>
    <row r="10" spans="1:39" x14ac:dyDescent="0.3">
      <c r="A10">
        <v>7</v>
      </c>
      <c r="B10" s="23">
        <f t="shared" si="0"/>
        <v>245</v>
      </c>
      <c r="C10" s="15">
        <f t="shared" si="2"/>
        <v>935</v>
      </c>
      <c r="D10" s="53">
        <f t="shared" si="3"/>
        <v>403.5</v>
      </c>
      <c r="E10" s="53">
        <f t="shared" si="1"/>
        <v>150</v>
      </c>
      <c r="F10" s="15">
        <f t="shared" si="1"/>
        <v>150</v>
      </c>
      <c r="G10" s="15">
        <f t="shared" si="1"/>
        <v>21.499999999999989</v>
      </c>
      <c r="H10" s="15">
        <f t="shared" si="1"/>
        <v>100</v>
      </c>
      <c r="I10" s="15">
        <f t="shared" si="1"/>
        <v>0</v>
      </c>
      <c r="J10" s="15">
        <f t="shared" si="1"/>
        <v>110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95</v>
      </c>
      <c r="R10" s="15" t="s">
        <v>62</v>
      </c>
      <c r="S10" s="15" t="s">
        <v>60</v>
      </c>
      <c r="T10" s="15">
        <v>25.92</v>
      </c>
      <c r="U10" s="15">
        <v>70.08</v>
      </c>
      <c r="V10" s="15">
        <f t="shared" si="4"/>
        <v>95</v>
      </c>
      <c r="W10" s="106">
        <f>Summary!$C$20*K10+Summary!$C$21*L10+Summary!$C$22*M10+Summary!$C$23*N10+Summary!$C$24*O10+Summary!$C$25*P10+Summary!$C$26*Q10</f>
        <v>947.15000000000009</v>
      </c>
      <c r="X10" t="s">
        <v>61</v>
      </c>
      <c r="Y10">
        <v>96</v>
      </c>
      <c r="Z10">
        <v>96</v>
      </c>
      <c r="AF10" t="s">
        <v>66</v>
      </c>
      <c r="AG10" s="5" t="s">
        <v>67</v>
      </c>
      <c r="AH10" s="5"/>
      <c r="AI10" s="5"/>
      <c r="AJ10" s="5"/>
    </row>
    <row r="11" spans="1:39" x14ac:dyDescent="0.3">
      <c r="A11">
        <v>8</v>
      </c>
      <c r="B11" s="23">
        <f t="shared" si="0"/>
        <v>340</v>
      </c>
      <c r="C11" s="15">
        <f t="shared" si="2"/>
        <v>840</v>
      </c>
      <c r="D11" s="53">
        <f t="shared" si="3"/>
        <v>403.5</v>
      </c>
      <c r="E11" s="53">
        <f t="shared" si="1"/>
        <v>150</v>
      </c>
      <c r="F11" s="15">
        <f t="shared" si="1"/>
        <v>150</v>
      </c>
      <c r="G11" s="15">
        <f t="shared" si="1"/>
        <v>21.499999999999989</v>
      </c>
      <c r="H11" s="15">
        <f t="shared" si="1"/>
        <v>100</v>
      </c>
      <c r="I11" s="15">
        <f t="shared" si="1"/>
        <v>0</v>
      </c>
      <c r="J11" s="15">
        <f t="shared" si="1"/>
        <v>15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95</v>
      </c>
      <c r="R11" s="15" t="s">
        <v>62</v>
      </c>
      <c r="S11" s="15" t="s">
        <v>60</v>
      </c>
      <c r="T11" s="15">
        <v>25.92</v>
      </c>
      <c r="U11" s="15">
        <v>70.08</v>
      </c>
      <c r="V11" s="15">
        <f t="shared" si="4"/>
        <v>95</v>
      </c>
      <c r="W11" s="106">
        <f>Summary!$C$20*K11+Summary!$C$21*L11+Summary!$C$22*M11+Summary!$C$23*N11+Summary!$C$24*O11+Summary!$C$25*P11+Summary!$C$26*Q11</f>
        <v>947.15000000000009</v>
      </c>
      <c r="X11" t="s">
        <v>61</v>
      </c>
      <c r="Y11">
        <v>96</v>
      </c>
      <c r="Z11">
        <v>96</v>
      </c>
      <c r="AF11" t="s">
        <v>66</v>
      </c>
      <c r="AG11" s="5" t="s">
        <v>58</v>
      </c>
      <c r="AH11" s="5"/>
      <c r="AI11" s="5"/>
      <c r="AJ11" s="5"/>
    </row>
    <row r="12" spans="1:39" x14ac:dyDescent="0.3">
      <c r="A12">
        <v>9</v>
      </c>
      <c r="B12" s="23">
        <f t="shared" si="0"/>
        <v>435</v>
      </c>
      <c r="C12" s="15">
        <f t="shared" si="2"/>
        <v>745</v>
      </c>
      <c r="D12" s="53">
        <f t="shared" si="3"/>
        <v>403.5</v>
      </c>
      <c r="E12" s="53">
        <f t="shared" si="1"/>
        <v>150</v>
      </c>
      <c r="F12" s="15">
        <f t="shared" si="1"/>
        <v>102</v>
      </c>
      <c r="G12" s="15">
        <f t="shared" si="1"/>
        <v>21.499999999999989</v>
      </c>
      <c r="H12" s="15">
        <f t="shared" si="1"/>
        <v>68</v>
      </c>
      <c r="I12" s="15">
        <f t="shared" si="1"/>
        <v>0</v>
      </c>
      <c r="J12" s="15">
        <f t="shared" si="1"/>
        <v>0</v>
      </c>
      <c r="K12" s="15">
        <v>0</v>
      </c>
      <c r="L12" s="15">
        <v>0</v>
      </c>
      <c r="M12" s="15">
        <f>(95-15)*0.6</f>
        <v>48</v>
      </c>
      <c r="N12" s="15">
        <v>0</v>
      </c>
      <c r="O12" s="15">
        <f>(95-15)*0.4</f>
        <v>32</v>
      </c>
      <c r="P12" s="15">
        <v>0</v>
      </c>
      <c r="Q12" s="15">
        <v>15</v>
      </c>
      <c r="R12" s="15" t="s">
        <v>62</v>
      </c>
      <c r="S12" s="15" t="s">
        <v>60</v>
      </c>
      <c r="T12" s="15">
        <v>25.92</v>
      </c>
      <c r="U12" s="15">
        <v>70.08</v>
      </c>
      <c r="V12" s="15">
        <f>SUM(K12:Q12)</f>
        <v>95</v>
      </c>
      <c r="W12" s="106">
        <f>Summary!$C$20*K12+Summary!$C$21*L12+Summary!$C$22*M12+Summary!$C$23*N12+Summary!$C$24*O12+Summary!$C$25*P12+Summary!$C$26*Q12</f>
        <v>1261.71</v>
      </c>
      <c r="X12" t="s">
        <v>61</v>
      </c>
      <c r="Y12">
        <v>96</v>
      </c>
      <c r="Z12">
        <v>96</v>
      </c>
      <c r="AF12" t="s">
        <v>66</v>
      </c>
      <c r="AG12" s="5" t="s">
        <v>58</v>
      </c>
      <c r="AH12" s="5"/>
      <c r="AI12" s="5"/>
      <c r="AJ12" s="5"/>
    </row>
    <row r="13" spans="1:39" s="6" customFormat="1" x14ac:dyDescent="0.3">
      <c r="A13">
        <v>10</v>
      </c>
      <c r="B13" s="23">
        <f t="shared" si="0"/>
        <v>531</v>
      </c>
      <c r="C13" s="15">
        <f t="shared" si="2"/>
        <v>649</v>
      </c>
      <c r="D13" s="60">
        <f t="shared" si="3"/>
        <v>403.5</v>
      </c>
      <c r="E13" s="60">
        <f t="shared" si="1"/>
        <v>150</v>
      </c>
      <c r="F13" s="15">
        <f t="shared" si="1"/>
        <v>44.4</v>
      </c>
      <c r="G13" s="15">
        <f t="shared" si="1"/>
        <v>21.499999999999989</v>
      </c>
      <c r="H13" s="15">
        <f t="shared" si="1"/>
        <v>29.6</v>
      </c>
      <c r="I13" s="15">
        <f t="shared" si="1"/>
        <v>0</v>
      </c>
      <c r="J13" s="15">
        <f t="shared" si="1"/>
        <v>0</v>
      </c>
      <c r="K13" s="15">
        <v>0</v>
      </c>
      <c r="L13" s="15">
        <v>0</v>
      </c>
      <c r="M13" s="15">
        <v>57.6</v>
      </c>
      <c r="N13" s="15">
        <v>0</v>
      </c>
      <c r="O13" s="15">
        <v>38.4</v>
      </c>
      <c r="P13" s="15">
        <v>0</v>
      </c>
      <c r="Q13" s="15">
        <v>0</v>
      </c>
      <c r="R13" s="15" t="s">
        <v>62</v>
      </c>
      <c r="S13" s="15" t="s">
        <v>60</v>
      </c>
      <c r="T13" s="15">
        <v>20.399999999999991</v>
      </c>
      <c r="U13" s="15">
        <v>55.15555555555553</v>
      </c>
      <c r="V13" s="15">
        <f t="shared" si="4"/>
        <v>96</v>
      </c>
      <c r="W13" s="106">
        <f>Summary!$C$20*K13+Summary!$C$21*L13+Summary!$C$22*M13+Summary!$C$23*N13+Summary!$C$24*O13+Summary!$C$25*P13+Summary!$C$26*Q13</f>
        <v>1334.5920000000001</v>
      </c>
      <c r="X13" t="s">
        <v>61</v>
      </c>
      <c r="Y13">
        <v>75.555555555555515</v>
      </c>
      <c r="Z13">
        <v>96</v>
      </c>
      <c r="AA13"/>
      <c r="AB13"/>
      <c r="AC13"/>
      <c r="AD13"/>
      <c r="AE13"/>
      <c r="AF13" t="s">
        <v>68</v>
      </c>
      <c r="AG13" s="5" t="s">
        <v>58</v>
      </c>
      <c r="AH13" s="5" t="s">
        <v>70</v>
      </c>
      <c r="AI13" s="5"/>
      <c r="AJ13" s="5"/>
      <c r="AK13" s="5" t="s">
        <v>69</v>
      </c>
      <c r="AL13"/>
      <c r="AM13"/>
    </row>
    <row r="14" spans="1:39" x14ac:dyDescent="0.3">
      <c r="A14">
        <v>11</v>
      </c>
      <c r="B14" s="23">
        <f t="shared" si="0"/>
        <v>627</v>
      </c>
      <c r="C14" s="15">
        <f t="shared" si="2"/>
        <v>553</v>
      </c>
      <c r="D14" s="15">
        <f t="shared" si="3"/>
        <v>387.44</v>
      </c>
      <c r="E14" s="15">
        <f t="shared" si="1"/>
        <v>144.06</v>
      </c>
      <c r="F14" s="15">
        <f t="shared" si="1"/>
        <v>0</v>
      </c>
      <c r="G14" s="15">
        <f t="shared" si="1"/>
        <v>21.499999999999989</v>
      </c>
      <c r="H14" s="15">
        <f t="shared" si="1"/>
        <v>0</v>
      </c>
      <c r="I14" s="15">
        <f t="shared" si="1"/>
        <v>0</v>
      </c>
      <c r="J14" s="15">
        <f t="shared" si="1"/>
        <v>0</v>
      </c>
      <c r="K14" s="15">
        <f>(96-74)*0.73</f>
        <v>16.059999999999999</v>
      </c>
      <c r="L14" s="15">
        <f>(96-74)*0.27</f>
        <v>5.94</v>
      </c>
      <c r="M14" s="15">
        <v>44.4</v>
      </c>
      <c r="N14" s="15">
        <v>0</v>
      </c>
      <c r="O14" s="15">
        <f>(M14/60)*40</f>
        <v>29.6</v>
      </c>
      <c r="P14" s="15">
        <v>0</v>
      </c>
      <c r="Q14" s="15">
        <v>0</v>
      </c>
      <c r="R14" s="15" t="s">
        <v>59</v>
      </c>
      <c r="S14" s="15" t="s">
        <v>60</v>
      </c>
      <c r="T14" s="15">
        <v>25.65</v>
      </c>
      <c r="U14" s="15">
        <v>69.349999999999994</v>
      </c>
      <c r="V14" s="15">
        <f t="shared" si="4"/>
        <v>96</v>
      </c>
      <c r="W14" s="106">
        <f>Summary!$C$20*K14+Summary!$C$21*L14+Summary!$C$22*M14+Summary!$C$23*N14+Summary!$C$24*O14+Summary!$C$25*P14+Summary!$C$26*Q14</f>
        <v>1393.0107999999998</v>
      </c>
      <c r="X14" t="s">
        <v>61</v>
      </c>
      <c r="Y14">
        <v>95</v>
      </c>
      <c r="Z14">
        <v>95</v>
      </c>
      <c r="AG14" s="5" t="s">
        <v>63</v>
      </c>
      <c r="AH14" s="5" t="s">
        <v>134</v>
      </c>
      <c r="AJ14" s="5"/>
      <c r="AK14" s="5" t="s">
        <v>142</v>
      </c>
    </row>
    <row r="15" spans="1:39" x14ac:dyDescent="0.3">
      <c r="A15">
        <v>12</v>
      </c>
      <c r="B15" s="23">
        <f t="shared" si="0"/>
        <v>153</v>
      </c>
      <c r="C15" s="15">
        <f t="shared" si="2"/>
        <v>1027</v>
      </c>
      <c r="D15" s="15">
        <f t="shared" si="3"/>
        <v>317.44</v>
      </c>
      <c r="E15" s="15">
        <f t="shared" si="1"/>
        <v>118.06</v>
      </c>
      <c r="F15" s="15">
        <f t="shared" si="1"/>
        <v>0</v>
      </c>
      <c r="G15" s="15">
        <f t="shared" si="1"/>
        <v>21.499999999999989</v>
      </c>
      <c r="H15" s="15">
        <f t="shared" si="1"/>
        <v>0</v>
      </c>
      <c r="I15" s="53">
        <f>I14-P15 + 250</f>
        <v>250</v>
      </c>
      <c r="J15" s="53">
        <f>J14-Q15 + 320</f>
        <v>320</v>
      </c>
      <c r="K15">
        <v>70</v>
      </c>
      <c r="L15">
        <v>26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59</v>
      </c>
      <c r="S15" t="s">
        <v>60</v>
      </c>
      <c r="T15">
        <v>25.65</v>
      </c>
      <c r="U15">
        <v>69.349999999999994</v>
      </c>
      <c r="V15">
        <f t="shared" si="4"/>
        <v>96</v>
      </c>
      <c r="W15" s="106">
        <f>Summary!$C$20*K15+Summary!$C$21*L15+Summary!$C$22*M15+Summary!$C$23*N15+Summary!$C$24*O15+Summary!$C$25*P15+Summary!$C$26*Q15</f>
        <v>1589.72</v>
      </c>
      <c r="X15" t="s">
        <v>61</v>
      </c>
      <c r="Y15">
        <v>95</v>
      </c>
      <c r="Z15">
        <v>95</v>
      </c>
      <c r="AG15" s="5" t="s">
        <v>63</v>
      </c>
      <c r="AH15" s="5" t="s">
        <v>58</v>
      </c>
      <c r="AK15" s="5" t="s">
        <v>142</v>
      </c>
    </row>
    <row r="16" spans="1:39" x14ac:dyDescent="0.3">
      <c r="A16">
        <v>13</v>
      </c>
      <c r="B16" s="23">
        <f t="shared" si="0"/>
        <v>249</v>
      </c>
      <c r="C16" s="15">
        <f t="shared" si="2"/>
        <v>931</v>
      </c>
      <c r="D16" s="15">
        <f t="shared" si="3"/>
        <v>247.44</v>
      </c>
      <c r="E16" s="15">
        <f t="shared" si="1"/>
        <v>92.06</v>
      </c>
      <c r="F16" s="15">
        <f t="shared" si="1"/>
        <v>0</v>
      </c>
      <c r="G16" s="15">
        <f t="shared" si="1"/>
        <v>21.499999999999989</v>
      </c>
      <c r="H16" s="15">
        <f t="shared" si="1"/>
        <v>0</v>
      </c>
      <c r="I16" s="53">
        <f t="shared" si="1"/>
        <v>250</v>
      </c>
      <c r="J16" s="53">
        <f t="shared" si="1"/>
        <v>320</v>
      </c>
      <c r="K16">
        <v>70</v>
      </c>
      <c r="L16">
        <v>26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59</v>
      </c>
      <c r="S16" t="s">
        <v>60</v>
      </c>
      <c r="T16">
        <v>25.65</v>
      </c>
      <c r="U16">
        <v>69.349999999999994</v>
      </c>
      <c r="V16">
        <f t="shared" si="4"/>
        <v>96</v>
      </c>
      <c r="W16" s="106">
        <f>Summary!$C$20*K16+Summary!$C$21*L16+Summary!$C$22*M16+Summary!$C$23*N16+Summary!$C$24*O16+Summary!$C$25*P16+Summary!$C$26*Q16</f>
        <v>1589.72</v>
      </c>
      <c r="X16" t="s">
        <v>61</v>
      </c>
      <c r="Y16">
        <v>95</v>
      </c>
      <c r="Z16">
        <v>95</v>
      </c>
      <c r="AG16" s="5" t="s">
        <v>71</v>
      </c>
      <c r="AH16" s="5" t="s">
        <v>58</v>
      </c>
      <c r="AK16" s="25" t="s">
        <v>143</v>
      </c>
    </row>
    <row r="17" spans="1:39" x14ac:dyDescent="0.3">
      <c r="A17">
        <v>14</v>
      </c>
      <c r="B17" s="23">
        <f t="shared" si="0"/>
        <v>345</v>
      </c>
      <c r="C17" s="15">
        <f t="shared" si="2"/>
        <v>835</v>
      </c>
      <c r="D17" s="15">
        <f t="shared" si="3"/>
        <v>177.44</v>
      </c>
      <c r="E17" s="15">
        <f t="shared" si="1"/>
        <v>66.06</v>
      </c>
      <c r="F17" s="15">
        <f t="shared" si="1"/>
        <v>0</v>
      </c>
      <c r="G17" s="15">
        <f t="shared" si="1"/>
        <v>21.499999999999989</v>
      </c>
      <c r="H17" s="15">
        <f t="shared" si="1"/>
        <v>0</v>
      </c>
      <c r="I17" s="53">
        <f t="shared" si="1"/>
        <v>250</v>
      </c>
      <c r="J17" s="53">
        <f t="shared" si="1"/>
        <v>320</v>
      </c>
      <c r="K17">
        <v>70</v>
      </c>
      <c r="L17">
        <v>26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59</v>
      </c>
      <c r="S17" t="s">
        <v>60</v>
      </c>
      <c r="T17">
        <v>24.797260273972611</v>
      </c>
      <c r="U17">
        <v>67.044444444444451</v>
      </c>
      <c r="V17">
        <f t="shared" si="4"/>
        <v>96</v>
      </c>
      <c r="W17" s="106">
        <f>Summary!$C$20*K17+Summary!$C$21*L17+Summary!$C$22*M17+Summary!$C$23*N17+Summary!$C$24*O17+Summary!$C$25*P17+Summary!$C$26*Q17</f>
        <v>1589.72</v>
      </c>
      <c r="X17" t="s">
        <v>61</v>
      </c>
      <c r="Y17">
        <v>91.841704718417063</v>
      </c>
      <c r="Z17">
        <v>95</v>
      </c>
      <c r="AG17" s="5" t="s">
        <v>71</v>
      </c>
      <c r="AH17" s="5" t="s">
        <v>58</v>
      </c>
      <c r="AK17" s="25" t="s">
        <v>58</v>
      </c>
    </row>
    <row r="18" spans="1:39" x14ac:dyDescent="0.3">
      <c r="A18">
        <v>15</v>
      </c>
      <c r="B18" s="23">
        <f t="shared" si="0"/>
        <v>441</v>
      </c>
      <c r="C18" s="15">
        <f t="shared" si="2"/>
        <v>739</v>
      </c>
      <c r="D18" s="15">
        <f t="shared" si="3"/>
        <v>107.44</v>
      </c>
      <c r="E18" s="15">
        <f t="shared" si="1"/>
        <v>40.06</v>
      </c>
      <c r="F18" s="15">
        <f t="shared" si="1"/>
        <v>0</v>
      </c>
      <c r="G18" s="15">
        <f t="shared" si="1"/>
        <v>21.499999999999989</v>
      </c>
      <c r="H18" s="15">
        <f t="shared" si="1"/>
        <v>0</v>
      </c>
      <c r="I18" s="53">
        <f t="shared" si="1"/>
        <v>250</v>
      </c>
      <c r="J18" s="53">
        <f t="shared" si="1"/>
        <v>320</v>
      </c>
      <c r="K18" s="15">
        <v>70</v>
      </c>
      <c r="L18" s="15">
        <v>26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 t="s">
        <v>53</v>
      </c>
      <c r="S18" s="15"/>
      <c r="T18" s="15">
        <v>7.1054273576010019E-15</v>
      </c>
      <c r="U18" s="15">
        <v>0</v>
      </c>
      <c r="V18" s="15">
        <f t="shared" si="4"/>
        <v>96</v>
      </c>
      <c r="W18" s="106">
        <f>Summary!$C$20*K18+Summary!$C$21*L18+Summary!$C$22*M18+Summary!$C$23*N18+Summary!$C$24*O18+Summary!$C$25*P18+Summary!$C$26*Q18</f>
        <v>1589.72</v>
      </c>
      <c r="X18" t="s">
        <v>72</v>
      </c>
      <c r="Y18">
        <v>7.1054273576010019E-15</v>
      </c>
      <c r="Z18">
        <v>96</v>
      </c>
      <c r="AG18" s="5" t="s">
        <v>71</v>
      </c>
      <c r="AH18" s="5" t="s">
        <v>73</v>
      </c>
      <c r="AK18" s="25" t="s">
        <v>58</v>
      </c>
    </row>
    <row r="19" spans="1:39" s="6" customFormat="1" x14ac:dyDescent="0.3">
      <c r="A19">
        <v>16</v>
      </c>
      <c r="B19" s="23">
        <f t="shared" si="0"/>
        <v>537</v>
      </c>
      <c r="C19" s="15">
        <f t="shared" si="2"/>
        <v>643</v>
      </c>
      <c r="D19" s="15">
        <f t="shared" si="3"/>
        <v>37.44</v>
      </c>
      <c r="E19" s="15">
        <f t="shared" si="1"/>
        <v>14.060000000000002</v>
      </c>
      <c r="F19" s="15">
        <f t="shared" si="1"/>
        <v>0</v>
      </c>
      <c r="G19" s="15">
        <f t="shared" si="1"/>
        <v>21.499999999999989</v>
      </c>
      <c r="H19" s="15">
        <f t="shared" si="1"/>
        <v>0</v>
      </c>
      <c r="I19" s="60">
        <f t="shared" si="1"/>
        <v>250</v>
      </c>
      <c r="J19" s="60">
        <f t="shared" si="1"/>
        <v>320</v>
      </c>
      <c r="K19" s="15">
        <v>70</v>
      </c>
      <c r="L19" s="15">
        <v>26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 t="s">
        <v>59</v>
      </c>
      <c r="S19" s="15"/>
      <c r="T19" s="15">
        <v>95</v>
      </c>
      <c r="U19" s="15">
        <v>0</v>
      </c>
      <c r="V19" s="15">
        <f t="shared" si="4"/>
        <v>96</v>
      </c>
      <c r="W19" s="106">
        <f>Summary!$C$20*K19+Summary!$C$21*L19+Summary!$C$22*M19+Summary!$C$23*N19+Summary!$C$24*O19+Summary!$C$25*P19+Summary!$C$26*Q19</f>
        <v>1589.72</v>
      </c>
      <c r="X19" t="s">
        <v>72</v>
      </c>
      <c r="Y19">
        <v>95</v>
      </c>
      <c r="Z19">
        <v>95</v>
      </c>
      <c r="AA19"/>
      <c r="AB19"/>
      <c r="AC19"/>
      <c r="AD19"/>
      <c r="AE19"/>
      <c r="AF19"/>
      <c r="AG19" s="5" t="s">
        <v>111</v>
      </c>
      <c r="AH19" s="5" t="s">
        <v>63</v>
      </c>
      <c r="AI19"/>
      <c r="AJ19"/>
      <c r="AK19" s="6" t="s">
        <v>73</v>
      </c>
      <c r="AL19"/>
      <c r="AM19"/>
    </row>
    <row r="20" spans="1:39" x14ac:dyDescent="0.3">
      <c r="A20">
        <v>17</v>
      </c>
      <c r="B20" s="23">
        <f t="shared" si="0"/>
        <v>82.000671232876812</v>
      </c>
      <c r="C20" s="15">
        <f t="shared" si="2"/>
        <v>1097.9993287671232</v>
      </c>
      <c r="D20" s="15">
        <f t="shared" si="3"/>
        <v>0</v>
      </c>
      <c r="E20" s="15">
        <f t="shared" si="3"/>
        <v>0.21232876712329052</v>
      </c>
      <c r="F20" s="15">
        <f t="shared" si="3"/>
        <v>0</v>
      </c>
      <c r="G20" s="15">
        <f t="shared" si="3"/>
        <v>21.499999999999989</v>
      </c>
      <c r="H20" s="15">
        <f t="shared" si="3"/>
        <v>0</v>
      </c>
      <c r="I20" s="53">
        <f>I19-P20 + 550</f>
        <v>756.28700000000003</v>
      </c>
      <c r="J20" s="15">
        <f t="shared" si="3"/>
        <v>320</v>
      </c>
      <c r="K20" s="15">
        <v>37.44</v>
      </c>
      <c r="L20" s="15">
        <f>(37.44/73)*27</f>
        <v>13.847671232876712</v>
      </c>
      <c r="M20" s="15">
        <v>0</v>
      </c>
      <c r="N20" s="15">
        <v>0</v>
      </c>
      <c r="O20" s="15">
        <v>0</v>
      </c>
      <c r="P20" s="15">
        <f>95-51.287</f>
        <v>43.713000000000001</v>
      </c>
      <c r="Q20" s="15">
        <v>0</v>
      </c>
      <c r="R20" s="15" t="s">
        <v>59</v>
      </c>
      <c r="S20" s="15"/>
      <c r="T20" s="15">
        <v>77.60273972602738</v>
      </c>
      <c r="U20" s="15">
        <v>0</v>
      </c>
      <c r="V20" s="15">
        <f t="shared" si="4"/>
        <v>95.000671232876712</v>
      </c>
      <c r="W20" s="106">
        <f>Summary!$C$20*K20+Summary!$C$21*L20+Summary!$C$22*M20+Summary!$C$23*N20+Summary!$C$24*O20+Summary!$C$25*P20+Summary!$C$26*Q20</f>
        <v>1285.4462276712329</v>
      </c>
      <c r="X20" t="s">
        <v>72</v>
      </c>
      <c r="Y20">
        <v>77.60273972602738</v>
      </c>
      <c r="Z20">
        <v>95</v>
      </c>
      <c r="AH20" s="5" t="s">
        <v>63</v>
      </c>
      <c r="AK20" s="25" t="s">
        <v>73</v>
      </c>
    </row>
    <row r="21" spans="1:39" x14ac:dyDescent="0.3">
      <c r="A21">
        <v>18</v>
      </c>
      <c r="B21" s="23">
        <f t="shared" si="0"/>
        <v>177.0006712328767</v>
      </c>
      <c r="C21" s="15">
        <f>SUM(D21:J21)</f>
        <v>1002.9993287671233</v>
      </c>
      <c r="D21" s="15">
        <f t="shared" si="3"/>
        <v>0</v>
      </c>
      <c r="E21" s="15">
        <f t="shared" si="3"/>
        <v>0.21232876712329052</v>
      </c>
      <c r="F21" s="15">
        <f t="shared" si="3"/>
        <v>0</v>
      </c>
      <c r="G21" s="15">
        <f t="shared" si="3"/>
        <v>21.499999999999989</v>
      </c>
      <c r="H21" s="15">
        <f t="shared" si="3"/>
        <v>0</v>
      </c>
      <c r="I21" s="53">
        <f t="shared" si="3"/>
        <v>661.28700000000003</v>
      </c>
      <c r="J21" s="15">
        <f t="shared" si="3"/>
        <v>320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95</v>
      </c>
      <c r="Q21" s="15">
        <v>0</v>
      </c>
      <c r="R21" s="15" t="s">
        <v>75</v>
      </c>
      <c r="S21" s="15"/>
      <c r="T21" s="15">
        <v>95</v>
      </c>
      <c r="U21" s="15">
        <v>0</v>
      </c>
      <c r="V21" s="15">
        <f t="shared" si="4"/>
        <v>95</v>
      </c>
      <c r="W21" s="106">
        <f>Summary!$C$20*K21+Summary!$C$21*L21+Summary!$C$22*M21+Summary!$C$23*N21+Summary!$C$24*O21+Summary!$C$25*P21+Summary!$C$26*Q21</f>
        <v>948.1</v>
      </c>
      <c r="X21" t="s">
        <v>72</v>
      </c>
      <c r="Y21">
        <v>95</v>
      </c>
      <c r="Z21">
        <v>95</v>
      </c>
      <c r="AH21" s="5" t="s">
        <v>71</v>
      </c>
      <c r="AI21" t="s">
        <v>78</v>
      </c>
      <c r="AK21" s="25" t="s">
        <v>73</v>
      </c>
    </row>
    <row r="22" spans="1:39" x14ac:dyDescent="0.3">
      <c r="A22">
        <v>19</v>
      </c>
      <c r="B22" s="23">
        <f t="shared" si="0"/>
        <v>272.0006712328767</v>
      </c>
      <c r="C22" s="15">
        <f t="shared" si="2"/>
        <v>907.9993287671233</v>
      </c>
      <c r="D22" s="15">
        <f t="shared" si="3"/>
        <v>0</v>
      </c>
      <c r="E22" s="15">
        <f t="shared" si="3"/>
        <v>0.21232876712329052</v>
      </c>
      <c r="F22" s="15">
        <f t="shared" si="3"/>
        <v>0</v>
      </c>
      <c r="G22" s="15">
        <f t="shared" si="3"/>
        <v>21.499999999999989</v>
      </c>
      <c r="H22" s="15">
        <f t="shared" si="3"/>
        <v>0</v>
      </c>
      <c r="I22" s="53">
        <f t="shared" si="3"/>
        <v>566.28700000000003</v>
      </c>
      <c r="J22" s="15">
        <f t="shared" si="3"/>
        <v>320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95</v>
      </c>
      <c r="Q22" s="15">
        <v>0</v>
      </c>
      <c r="R22" s="15" t="s">
        <v>53</v>
      </c>
      <c r="S22" s="15"/>
      <c r="T22" s="15">
        <v>96</v>
      </c>
      <c r="U22" s="15">
        <v>0</v>
      </c>
      <c r="V22" s="15">
        <f t="shared" si="4"/>
        <v>95</v>
      </c>
      <c r="W22" s="106">
        <f>Summary!$C$20*K22+Summary!$C$21*L22+Summary!$C$22*M22+Summary!$C$23*N22+Summary!$C$24*O22+Summary!$C$25*P22+Summary!$C$26*Q22</f>
        <v>948.1</v>
      </c>
      <c r="X22" t="s">
        <v>72</v>
      </c>
      <c r="Y22">
        <v>96</v>
      </c>
      <c r="Z22">
        <v>96</v>
      </c>
      <c r="AH22" s="5" t="s">
        <v>71</v>
      </c>
      <c r="AI22" t="s">
        <v>58</v>
      </c>
      <c r="AK22" s="25" t="s">
        <v>73</v>
      </c>
    </row>
    <row r="23" spans="1:39" s="6" customFormat="1" x14ac:dyDescent="0.3">
      <c r="A23">
        <v>20</v>
      </c>
      <c r="B23" s="23">
        <f t="shared" si="0"/>
        <v>367.0006712328767</v>
      </c>
      <c r="C23" s="15">
        <f t="shared" si="2"/>
        <v>812.9993287671233</v>
      </c>
      <c r="D23" s="15">
        <f t="shared" si="3"/>
        <v>0</v>
      </c>
      <c r="E23" s="15">
        <f t="shared" si="3"/>
        <v>0.21232876712329052</v>
      </c>
      <c r="F23" s="15">
        <f t="shared" si="3"/>
        <v>0</v>
      </c>
      <c r="G23" s="15">
        <f t="shared" si="3"/>
        <v>21.499999999999989</v>
      </c>
      <c r="H23" s="15">
        <f t="shared" si="3"/>
        <v>0</v>
      </c>
      <c r="I23" s="53">
        <f t="shared" si="3"/>
        <v>550</v>
      </c>
      <c r="J23" s="15">
        <f t="shared" si="3"/>
        <v>241.28700000000001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16.286999999999999</v>
      </c>
      <c r="Q23" s="15">
        <f>95-16.287</f>
        <v>78.712999999999994</v>
      </c>
      <c r="R23" s="15" t="s">
        <v>53</v>
      </c>
      <c r="S23" s="15"/>
      <c r="T23" s="15">
        <v>96</v>
      </c>
      <c r="U23" s="15">
        <v>0</v>
      </c>
      <c r="V23" s="15">
        <f t="shared" si="4"/>
        <v>95</v>
      </c>
      <c r="W23" s="106">
        <f>Summary!$C$20*K23+Summary!$C$21*L23+Summary!$C$22*M23+Summary!$C$23*N23+Summary!$C$24*O23+Summary!$C$25*P23+Summary!$C$26*Q23</f>
        <v>947.31286999999998</v>
      </c>
      <c r="X23" t="s">
        <v>72</v>
      </c>
      <c r="Y23">
        <v>96</v>
      </c>
      <c r="Z23">
        <v>96</v>
      </c>
      <c r="AA23"/>
      <c r="AB23"/>
      <c r="AC23"/>
      <c r="AD23"/>
      <c r="AE23"/>
      <c r="AF23"/>
      <c r="AG23"/>
      <c r="AH23" s="5" t="s">
        <v>71</v>
      </c>
      <c r="AI23" t="s">
        <v>58</v>
      </c>
      <c r="AJ23"/>
      <c r="AK23" s="6" t="s">
        <v>73</v>
      </c>
      <c r="AL23"/>
      <c r="AM23"/>
    </row>
    <row r="24" spans="1:39" s="6" customFormat="1" x14ac:dyDescent="0.3">
      <c r="A24">
        <v>21</v>
      </c>
      <c r="B24" s="23">
        <f t="shared" si="0"/>
        <v>462.0006712328767</v>
      </c>
      <c r="C24" s="15">
        <f t="shared" si="2"/>
        <v>717.9993287671233</v>
      </c>
      <c r="D24" s="15">
        <f>D23-K24</f>
        <v>0</v>
      </c>
      <c r="E24" s="15">
        <f t="shared" si="3"/>
        <v>0.21232876712329052</v>
      </c>
      <c r="F24" s="15">
        <f>F23-M24</f>
        <v>0</v>
      </c>
      <c r="G24" s="15">
        <f t="shared" si="3"/>
        <v>21.499999999999989</v>
      </c>
      <c r="H24" s="15">
        <f t="shared" si="3"/>
        <v>0</v>
      </c>
      <c r="I24" s="60">
        <f t="shared" si="3"/>
        <v>550</v>
      </c>
      <c r="J24" s="15">
        <f t="shared" si="3"/>
        <v>146.28700000000001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95</v>
      </c>
      <c r="R24" s="15" t="s">
        <v>53</v>
      </c>
      <c r="S24" s="15"/>
      <c r="T24" s="15">
        <v>8</v>
      </c>
      <c r="U24" s="15">
        <v>0</v>
      </c>
      <c r="V24" s="15">
        <f t="shared" si="4"/>
        <v>95</v>
      </c>
      <c r="W24" s="106">
        <f>Summary!$C$20*K24+Summary!$C$21*L24+Summary!$C$22*M24+Summary!$C$23*N24+Summary!$C$24*O24+Summary!$C$25*P24+Summary!$C$26*Q24</f>
        <v>947.15000000000009</v>
      </c>
      <c r="X24" t="s">
        <v>72</v>
      </c>
      <c r="Y24">
        <v>8</v>
      </c>
      <c r="Z24">
        <v>96</v>
      </c>
      <c r="AA24"/>
      <c r="AB24"/>
      <c r="AC24"/>
      <c r="AD24"/>
      <c r="AE24"/>
      <c r="AF24"/>
      <c r="AG24"/>
      <c r="AH24" s="5" t="s">
        <v>80</v>
      </c>
      <c r="AI24" s="6" t="s">
        <v>73</v>
      </c>
      <c r="AJ24" t="s">
        <v>79</v>
      </c>
      <c r="AK24" s="25" t="s">
        <v>63</v>
      </c>
      <c r="AL24"/>
      <c r="AM24"/>
    </row>
    <row r="25" spans="1:39" x14ac:dyDescent="0.3">
      <c r="A25">
        <v>22</v>
      </c>
      <c r="B25" s="23">
        <f t="shared" si="0"/>
        <v>47.000671232876584</v>
      </c>
      <c r="C25" s="15">
        <f>SUM(D25:J25)</f>
        <v>1132.9993287671234</v>
      </c>
      <c r="D25" s="53">
        <f>D24-K25 + 360</f>
        <v>360</v>
      </c>
      <c r="E25" s="15">
        <f t="shared" si="3"/>
        <v>0.21232876712329052</v>
      </c>
      <c r="F25" s="53">
        <f>F24-M25 + 150</f>
        <v>150</v>
      </c>
      <c r="G25" s="15">
        <f t="shared" si="3"/>
        <v>21.499999999999989</v>
      </c>
      <c r="H25" s="15">
        <f t="shared" si="3"/>
        <v>0</v>
      </c>
      <c r="I25" s="15">
        <f t="shared" si="3"/>
        <v>550</v>
      </c>
      <c r="J25" s="15">
        <f t="shared" si="3"/>
        <v>51.287000000000006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95</v>
      </c>
      <c r="R25" s="15" t="s">
        <v>60</v>
      </c>
      <c r="S25" s="15"/>
      <c r="T25" s="15">
        <v>87</v>
      </c>
      <c r="U25" s="15">
        <v>0</v>
      </c>
      <c r="V25" s="15">
        <f t="shared" si="4"/>
        <v>95</v>
      </c>
      <c r="W25" s="106">
        <f>Summary!$C$20*K25+Summary!$C$21*L25+Summary!$C$22*M25+Summary!$C$23*N25+Summary!$C$24*O25+Summary!$C$25*P25+Summary!$C$26*Q25</f>
        <v>947.15000000000009</v>
      </c>
      <c r="X25" t="s">
        <v>72</v>
      </c>
      <c r="Y25">
        <v>87</v>
      </c>
      <c r="Z25">
        <v>87</v>
      </c>
      <c r="AH25" s="6"/>
      <c r="AI25" t="s">
        <v>73</v>
      </c>
      <c r="AJ25" t="s">
        <v>81</v>
      </c>
      <c r="AK25" s="25" t="s">
        <v>63</v>
      </c>
    </row>
    <row r="26" spans="1:39" x14ac:dyDescent="0.3">
      <c r="A26">
        <v>23</v>
      </c>
      <c r="B26" s="23">
        <f t="shared" si="0"/>
        <v>142.00067123287681</v>
      </c>
      <c r="C26" s="15">
        <f t="shared" si="2"/>
        <v>1037.9993287671232</v>
      </c>
      <c r="D26" s="53">
        <f t="shared" si="3"/>
        <v>360</v>
      </c>
      <c r="E26" s="15">
        <f t="shared" si="3"/>
        <v>0.21232876712329052</v>
      </c>
      <c r="F26" s="53">
        <f t="shared" si="3"/>
        <v>150</v>
      </c>
      <c r="G26" s="15">
        <f t="shared" si="3"/>
        <v>21.499999999999989</v>
      </c>
      <c r="H26" s="15">
        <f t="shared" si="3"/>
        <v>0</v>
      </c>
      <c r="I26" s="15">
        <f t="shared" si="3"/>
        <v>506.28699999999998</v>
      </c>
      <c r="J26" s="15">
        <f t="shared" si="3"/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f>95-51.287</f>
        <v>43.713000000000001</v>
      </c>
      <c r="Q26" s="15">
        <v>51.286999999999999</v>
      </c>
      <c r="R26" s="15" t="s">
        <v>60</v>
      </c>
      <c r="S26" s="15"/>
      <c r="T26" s="15">
        <v>87</v>
      </c>
      <c r="U26" s="15">
        <v>0</v>
      </c>
      <c r="V26" s="15">
        <f t="shared" si="4"/>
        <v>95</v>
      </c>
      <c r="W26" s="106">
        <f>Summary!$C$20*K26+Summary!$C$21*L26+Summary!$C$22*M26+Summary!$C$23*N26+Summary!$C$24*O26+Summary!$C$25*P26+Summary!$C$26*Q26</f>
        <v>947.58713</v>
      </c>
      <c r="X26" t="s">
        <v>72</v>
      </c>
      <c r="Y26">
        <v>87</v>
      </c>
      <c r="Z26">
        <v>87</v>
      </c>
      <c r="AI26" s="6" t="s">
        <v>63</v>
      </c>
      <c r="AJ26" t="s">
        <v>82</v>
      </c>
      <c r="AK26" s="26" t="s">
        <v>71</v>
      </c>
    </row>
    <row r="27" spans="1:39" x14ac:dyDescent="0.3">
      <c r="A27">
        <v>24</v>
      </c>
      <c r="B27" s="23">
        <f t="shared" si="0"/>
        <v>37.000671232876812</v>
      </c>
      <c r="C27" s="15">
        <f t="shared" si="2"/>
        <v>1142.9993287671232</v>
      </c>
      <c r="D27" s="53">
        <f t="shared" si="3"/>
        <v>360</v>
      </c>
      <c r="E27" s="15">
        <f t="shared" si="3"/>
        <v>0.21232876712329052</v>
      </c>
      <c r="F27" s="53">
        <f t="shared" si="3"/>
        <v>150</v>
      </c>
      <c r="G27" s="53">
        <f>G26-N27 + 200</f>
        <v>221.5</v>
      </c>
      <c r="H27" s="15">
        <f t="shared" si="3"/>
        <v>0</v>
      </c>
      <c r="I27" s="15">
        <f t="shared" si="3"/>
        <v>411.28699999999998</v>
      </c>
      <c r="J27" s="15">
        <f t="shared" si="3"/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95</v>
      </c>
      <c r="Q27" s="15">
        <v>0</v>
      </c>
      <c r="R27" s="15" t="s">
        <v>60</v>
      </c>
      <c r="S27" s="15"/>
      <c r="T27" s="15">
        <v>87</v>
      </c>
      <c r="U27" s="15">
        <v>0</v>
      </c>
      <c r="V27" s="15">
        <f t="shared" si="4"/>
        <v>95</v>
      </c>
      <c r="W27" s="106">
        <f>Summary!$C$20*K27+Summary!$C$21*L27+Summary!$C$22*M27+Summary!$C$23*N27+Summary!$C$24*O27+Summary!$C$25*P27+Summary!$C$26*Q27</f>
        <v>948.1</v>
      </c>
      <c r="X27" t="s">
        <v>72</v>
      </c>
      <c r="Y27">
        <v>87</v>
      </c>
      <c r="Z27">
        <v>87</v>
      </c>
      <c r="AI27" t="s">
        <v>63</v>
      </c>
      <c r="AJ27" t="s">
        <v>83</v>
      </c>
      <c r="AK27" s="25" t="s">
        <v>71</v>
      </c>
    </row>
    <row r="28" spans="1:39" x14ac:dyDescent="0.3">
      <c r="A28">
        <v>25</v>
      </c>
      <c r="B28" s="23">
        <f t="shared" si="0"/>
        <v>132.00067123287681</v>
      </c>
      <c r="C28" s="15">
        <f t="shared" si="2"/>
        <v>1047.9993287671232</v>
      </c>
      <c r="D28" s="53">
        <f t="shared" si="3"/>
        <v>360</v>
      </c>
      <c r="E28" s="15">
        <f t="shared" si="3"/>
        <v>0.21232876712329052</v>
      </c>
      <c r="F28" s="53">
        <f t="shared" si="3"/>
        <v>150</v>
      </c>
      <c r="G28" s="53">
        <f t="shared" si="3"/>
        <v>221.5</v>
      </c>
      <c r="H28" s="15">
        <f t="shared" si="3"/>
        <v>0</v>
      </c>
      <c r="I28" s="15">
        <f t="shared" si="3"/>
        <v>316.28699999999998</v>
      </c>
      <c r="J28" s="15">
        <f t="shared" si="3"/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95</v>
      </c>
      <c r="Q28" s="15">
        <v>0</v>
      </c>
      <c r="R28" s="15" t="s">
        <v>60</v>
      </c>
      <c r="S28" s="15"/>
      <c r="T28" s="15">
        <v>87</v>
      </c>
      <c r="U28" s="15">
        <v>0</v>
      </c>
      <c r="V28" s="15">
        <f t="shared" si="4"/>
        <v>95</v>
      </c>
      <c r="W28" s="106">
        <f>Summary!$C$20*K28+Summary!$C$21*L28+Summary!$C$22*M28+Summary!$C$23*N28+Summary!$C$24*O28+Summary!$C$25*P28+Summary!$C$26*Q28</f>
        <v>948.1</v>
      </c>
      <c r="X28" t="s">
        <v>72</v>
      </c>
      <c r="Y28">
        <v>87</v>
      </c>
      <c r="Z28">
        <v>87</v>
      </c>
      <c r="AI28" t="s">
        <v>71</v>
      </c>
      <c r="AJ28" t="s">
        <v>58</v>
      </c>
      <c r="AK28" s="25" t="s">
        <v>71</v>
      </c>
    </row>
    <row r="29" spans="1:39" s="6" customFormat="1" x14ac:dyDescent="0.3">
      <c r="A29">
        <v>26</v>
      </c>
      <c r="B29" s="23">
        <f t="shared" si="0"/>
        <v>227.00067123287681</v>
      </c>
      <c r="C29" s="15">
        <f t="shared" si="2"/>
        <v>952.99932876712319</v>
      </c>
      <c r="D29" s="60">
        <f t="shared" si="3"/>
        <v>360</v>
      </c>
      <c r="E29" s="15">
        <f t="shared" si="3"/>
        <v>0.21232876712329052</v>
      </c>
      <c r="F29" s="60">
        <f t="shared" si="3"/>
        <v>150</v>
      </c>
      <c r="G29" s="53">
        <f t="shared" si="3"/>
        <v>221.5</v>
      </c>
      <c r="H29" s="15">
        <f t="shared" si="3"/>
        <v>0</v>
      </c>
      <c r="I29" s="15">
        <f t="shared" si="3"/>
        <v>221.28699999999998</v>
      </c>
      <c r="J29" s="15">
        <f t="shared" si="3"/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95</v>
      </c>
      <c r="Q29" s="15">
        <v>0</v>
      </c>
      <c r="R29" s="15" t="s">
        <v>60</v>
      </c>
      <c r="S29" s="15"/>
      <c r="T29" s="15">
        <v>12</v>
      </c>
      <c r="U29" s="15">
        <v>0</v>
      </c>
      <c r="V29" s="15">
        <f t="shared" si="4"/>
        <v>95</v>
      </c>
      <c r="W29" s="106">
        <f>Summary!$C$20*K29+Summary!$C$21*L29+Summary!$C$22*M29+Summary!$C$23*N29+Summary!$C$24*O29+Summary!$C$25*P29+Summary!$C$26*Q29</f>
        <v>948.1</v>
      </c>
      <c r="X29" t="s">
        <v>72</v>
      </c>
      <c r="Y29">
        <v>12</v>
      </c>
      <c r="Z29">
        <v>87</v>
      </c>
      <c r="AA29"/>
      <c r="AB29"/>
      <c r="AC29"/>
      <c r="AD29"/>
      <c r="AE29"/>
      <c r="AF29"/>
      <c r="AG29"/>
      <c r="AH29"/>
      <c r="AI29" t="s">
        <v>71</v>
      </c>
      <c r="AJ29" t="s">
        <v>58</v>
      </c>
      <c r="AK29" t="s">
        <v>144</v>
      </c>
      <c r="AL29"/>
      <c r="AM29"/>
    </row>
    <row r="30" spans="1:39" x14ac:dyDescent="0.3">
      <c r="A30">
        <v>27</v>
      </c>
      <c r="B30" s="23">
        <f t="shared" si="0"/>
        <v>322.00067123287681</v>
      </c>
      <c r="C30" s="15">
        <f t="shared" si="2"/>
        <v>857.99932876712319</v>
      </c>
      <c r="D30" s="15">
        <f t="shared" si="3"/>
        <v>360</v>
      </c>
      <c r="E30" s="15">
        <f t="shared" si="3"/>
        <v>0.21232876712329052</v>
      </c>
      <c r="F30" s="15">
        <f t="shared" si="3"/>
        <v>150</v>
      </c>
      <c r="G30" s="53">
        <f t="shared" si="3"/>
        <v>221.5</v>
      </c>
      <c r="H30" s="15">
        <f t="shared" si="3"/>
        <v>0</v>
      </c>
      <c r="I30" s="15">
        <f t="shared" si="3"/>
        <v>126.28699999999998</v>
      </c>
      <c r="J30" s="15">
        <f t="shared" si="3"/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95</v>
      </c>
      <c r="Q30" s="15">
        <v>0</v>
      </c>
      <c r="R30" s="15" t="s">
        <v>54</v>
      </c>
      <c r="S30" s="15"/>
      <c r="T30" s="15">
        <v>95</v>
      </c>
      <c r="U30" s="15">
        <v>0</v>
      </c>
      <c r="V30" s="15">
        <f t="shared" si="4"/>
        <v>95</v>
      </c>
      <c r="W30" s="106">
        <f>Summary!$C$20*K30+Summary!$C$21*L30+Summary!$C$22*M30+Summary!$C$23*N30+Summary!$C$24*O30+Summary!$C$25*P30+Summary!$C$26*Q30</f>
        <v>948.1</v>
      </c>
      <c r="X30" t="s">
        <v>72</v>
      </c>
      <c r="Y30">
        <v>95</v>
      </c>
      <c r="Z30">
        <v>95</v>
      </c>
      <c r="AI30" t="s">
        <v>71</v>
      </c>
      <c r="AJ30" t="s">
        <v>58</v>
      </c>
    </row>
    <row r="31" spans="1:39" x14ac:dyDescent="0.3">
      <c r="A31">
        <v>28</v>
      </c>
      <c r="B31" s="23">
        <f t="shared" si="0"/>
        <v>417.00067123287681</v>
      </c>
      <c r="C31" s="15">
        <f t="shared" si="2"/>
        <v>762.99932876712319</v>
      </c>
      <c r="D31" s="15">
        <f t="shared" si="3"/>
        <v>360</v>
      </c>
      <c r="E31" s="15">
        <f t="shared" si="3"/>
        <v>0.21232876712329052</v>
      </c>
      <c r="F31" s="15">
        <f t="shared" si="3"/>
        <v>150</v>
      </c>
      <c r="G31" s="60">
        <f t="shared" si="3"/>
        <v>221.5</v>
      </c>
      <c r="H31" s="15">
        <f t="shared" si="3"/>
        <v>0</v>
      </c>
      <c r="I31" s="15">
        <f t="shared" si="3"/>
        <v>31.286999999999978</v>
      </c>
      <c r="J31" s="15">
        <f t="shared" si="3"/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95</v>
      </c>
      <c r="Q31" s="15">
        <v>0</v>
      </c>
      <c r="R31" s="15" t="s">
        <v>54</v>
      </c>
      <c r="S31" s="15"/>
      <c r="T31" s="15">
        <v>55</v>
      </c>
      <c r="U31" s="15">
        <v>0</v>
      </c>
      <c r="V31" s="15">
        <f t="shared" si="4"/>
        <v>95</v>
      </c>
      <c r="W31" s="106">
        <f>Summary!$C$20*K31+Summary!$C$21*L31+Summary!$C$22*M31+Summary!$C$23*N31+Summary!$C$24*O31+Summary!$C$25*P31+Summary!$C$26*Q31</f>
        <v>948.1</v>
      </c>
      <c r="X31" t="s">
        <v>72</v>
      </c>
      <c r="Y31">
        <v>55</v>
      </c>
      <c r="Z31">
        <v>95</v>
      </c>
      <c r="AI31" t="s">
        <v>145</v>
      </c>
      <c r="AJ31" t="s">
        <v>73</v>
      </c>
    </row>
    <row r="32" spans="1:39" x14ac:dyDescent="0.3">
      <c r="A32">
        <v>29</v>
      </c>
      <c r="B32" s="23">
        <f t="shared" si="0"/>
        <v>512.0006712328767</v>
      </c>
      <c r="C32" s="15">
        <f t="shared" si="2"/>
        <v>667.9993287671233</v>
      </c>
      <c r="D32" s="15">
        <f t="shared" si="3"/>
        <v>313.48951</v>
      </c>
      <c r="E32" s="15">
        <f t="shared" si="3"/>
        <v>0.21232876712329052</v>
      </c>
      <c r="F32" s="15">
        <f t="shared" si="3"/>
        <v>150</v>
      </c>
      <c r="G32" s="15">
        <f t="shared" si="3"/>
        <v>204.29749000000001</v>
      </c>
      <c r="H32" s="15">
        <f>H31-O32</f>
        <v>0</v>
      </c>
      <c r="I32" s="15">
        <f>I31-P32</f>
        <v>0</v>
      </c>
      <c r="J32" s="15">
        <f>J31-Q32</f>
        <v>0</v>
      </c>
      <c r="K32" s="15">
        <f>(95-31.287)*0.73</f>
        <v>46.510489999999997</v>
      </c>
      <c r="L32" s="15">
        <v>0</v>
      </c>
      <c r="M32" s="15">
        <v>0</v>
      </c>
      <c r="N32" s="15">
        <f>(95-31.287)*0.27</f>
        <v>17.20251</v>
      </c>
      <c r="O32" s="15">
        <v>0</v>
      </c>
      <c r="P32" s="15">
        <v>31.286999999999999</v>
      </c>
      <c r="Q32" s="15">
        <v>0</v>
      </c>
      <c r="R32" s="15" t="s">
        <v>75</v>
      </c>
      <c r="S32" s="15"/>
      <c r="T32" s="15">
        <v>95</v>
      </c>
      <c r="U32" s="15">
        <v>0</v>
      </c>
      <c r="V32" s="15">
        <f t="shared" si="4"/>
        <v>95</v>
      </c>
      <c r="W32" s="106">
        <f>Summary!$C$20*K32+Summary!$C$21*L32+Summary!$C$22*M32+Summary!$C$23*N32+Summary!$C$24*O32+Summary!$C$25*P32+Summary!$C$26*Q32</f>
        <v>1380.4118188999998</v>
      </c>
      <c r="X32" t="s">
        <v>72</v>
      </c>
      <c r="Y32">
        <v>95</v>
      </c>
      <c r="Z32">
        <v>95</v>
      </c>
      <c r="AJ32" t="s">
        <v>63</v>
      </c>
    </row>
    <row r="33" spans="1:39" x14ac:dyDescent="0.3">
      <c r="A33">
        <v>30</v>
      </c>
      <c r="B33" s="23">
        <f t="shared" si="0"/>
        <v>77.000671232876812</v>
      </c>
      <c r="C33" s="15">
        <f t="shared" si="2"/>
        <v>1102.9993287671232</v>
      </c>
      <c r="D33" s="15">
        <f t="shared" si="3"/>
        <v>244.13951</v>
      </c>
      <c r="E33" s="15">
        <f t="shared" si="3"/>
        <v>0.21232876712329052</v>
      </c>
      <c r="F33" s="15">
        <f t="shared" si="3"/>
        <v>150</v>
      </c>
      <c r="G33" s="15">
        <f t="shared" si="3"/>
        <v>178.64749</v>
      </c>
      <c r="H33" s="53">
        <f>H32-O33 + 150</f>
        <v>150</v>
      </c>
      <c r="I33" s="53">
        <f>I32-P33 + 100</f>
        <v>100</v>
      </c>
      <c r="J33" s="53">
        <f>J32-Q33 + 280</f>
        <v>280</v>
      </c>
      <c r="K33" s="15">
        <f>0.73*95</f>
        <v>69.349999999999994</v>
      </c>
      <c r="L33" s="15">
        <v>0</v>
      </c>
      <c r="M33" s="15">
        <v>0</v>
      </c>
      <c r="N33" s="15">
        <f>0.27*95</f>
        <v>25.650000000000002</v>
      </c>
      <c r="O33" s="15">
        <v>0</v>
      </c>
      <c r="P33" s="15">
        <v>0</v>
      </c>
      <c r="Q33" s="15">
        <v>0</v>
      </c>
      <c r="R33" s="15" t="s">
        <v>75</v>
      </c>
      <c r="S33" s="15"/>
      <c r="T33" s="15">
        <v>95</v>
      </c>
      <c r="U33" s="15">
        <v>0</v>
      </c>
      <c r="V33" s="15">
        <f t="shared" si="4"/>
        <v>95</v>
      </c>
      <c r="W33" s="106">
        <f>Summary!$C$20*K33+Summary!$C$21*L33+Summary!$C$22*M33+Summary!$C$23*N33+Summary!$C$24*O33+Summary!$C$25*P33+Summary!$C$26*Q33</f>
        <v>1592.7035000000001</v>
      </c>
      <c r="X33" t="s">
        <v>72</v>
      </c>
      <c r="Y33">
        <v>95</v>
      </c>
      <c r="Z33">
        <v>95</v>
      </c>
      <c r="AJ33" t="s">
        <v>63</v>
      </c>
    </row>
    <row r="34" spans="1:39" x14ac:dyDescent="0.3">
      <c r="A34">
        <v>31</v>
      </c>
      <c r="B34" s="23">
        <f t="shared" si="0"/>
        <v>172.0006712328767</v>
      </c>
      <c r="C34" s="15">
        <f t="shared" si="2"/>
        <v>1007.9993287671233</v>
      </c>
      <c r="D34" s="15">
        <f t="shared" si="3"/>
        <v>174.78951000000001</v>
      </c>
      <c r="E34" s="15">
        <f t="shared" si="3"/>
        <v>0.21232876712329052</v>
      </c>
      <c r="F34" s="15">
        <f t="shared" si="3"/>
        <v>150</v>
      </c>
      <c r="G34" s="15">
        <f t="shared" si="3"/>
        <v>152.99749</v>
      </c>
      <c r="H34" s="53">
        <f t="shared" si="3"/>
        <v>150</v>
      </c>
      <c r="I34" s="53">
        <f t="shared" si="3"/>
        <v>100</v>
      </c>
      <c r="J34" s="53">
        <f t="shared" si="3"/>
        <v>280</v>
      </c>
      <c r="K34" s="15">
        <f t="shared" ref="K34:K35" si="5">0.73*95</f>
        <v>69.349999999999994</v>
      </c>
      <c r="L34" s="15">
        <v>0</v>
      </c>
      <c r="M34" s="15">
        <v>0</v>
      </c>
      <c r="N34" s="15">
        <f t="shared" ref="N34:N35" si="6">0.27*95</f>
        <v>25.650000000000002</v>
      </c>
      <c r="O34" s="15">
        <v>0</v>
      </c>
      <c r="P34" s="15">
        <v>0</v>
      </c>
      <c r="Q34" s="15">
        <v>0</v>
      </c>
      <c r="R34" s="15"/>
      <c r="S34" s="15"/>
      <c r="T34" s="15"/>
      <c r="U34" s="15"/>
      <c r="V34" s="15">
        <f t="shared" si="4"/>
        <v>95</v>
      </c>
      <c r="W34" s="106">
        <f>Summary!$C$20*K34+Summary!$C$21*L34+Summary!$C$22*M34+Summary!$C$23*N34+Summary!$C$24*O34+Summary!$C$25*P34+Summary!$C$26*Q34</f>
        <v>1592.7035000000001</v>
      </c>
      <c r="AJ34" t="s">
        <v>71</v>
      </c>
    </row>
    <row r="35" spans="1:39" x14ac:dyDescent="0.3">
      <c r="A35">
        <v>32</v>
      </c>
      <c r="B35" s="23">
        <f t="shared" si="0"/>
        <v>267.0006712328767</v>
      </c>
      <c r="C35" s="15">
        <f t="shared" si="2"/>
        <v>912.9993287671233</v>
      </c>
      <c r="D35" s="15">
        <f t="shared" si="3"/>
        <v>105.43951000000001</v>
      </c>
      <c r="E35" s="15">
        <f t="shared" si="3"/>
        <v>0.21232876712329052</v>
      </c>
      <c r="F35" s="15">
        <f t="shared" si="3"/>
        <v>150</v>
      </c>
      <c r="G35" s="15">
        <f t="shared" si="3"/>
        <v>127.34748999999999</v>
      </c>
      <c r="H35" s="53">
        <f t="shared" si="3"/>
        <v>150</v>
      </c>
      <c r="I35" s="53">
        <f t="shared" si="3"/>
        <v>100</v>
      </c>
      <c r="J35" s="53">
        <f t="shared" si="3"/>
        <v>280</v>
      </c>
      <c r="K35" s="15">
        <f t="shared" si="5"/>
        <v>69.349999999999994</v>
      </c>
      <c r="L35" s="15">
        <v>0</v>
      </c>
      <c r="M35" s="15">
        <v>0</v>
      </c>
      <c r="N35" s="15">
        <f t="shared" si="6"/>
        <v>25.650000000000002</v>
      </c>
      <c r="O35" s="15">
        <v>0</v>
      </c>
      <c r="P35" s="15">
        <v>0</v>
      </c>
      <c r="Q35" s="15">
        <v>0</v>
      </c>
      <c r="R35" s="15"/>
      <c r="S35" s="15"/>
      <c r="T35" s="15"/>
      <c r="U35" s="15"/>
      <c r="V35" s="15">
        <f t="shared" si="4"/>
        <v>95</v>
      </c>
      <c r="W35" s="106">
        <f>Summary!$C$20*K35+Summary!$C$21*L35+Summary!$C$22*M35+Summary!$C$23*N35+Summary!$C$24*O35+Summary!$C$25*P35+Summary!$C$26*Q35</f>
        <v>1592.7035000000001</v>
      </c>
      <c r="AJ35" t="s">
        <v>71</v>
      </c>
    </row>
    <row r="36" spans="1:39" s="6" customFormat="1" x14ac:dyDescent="0.3">
      <c r="A36">
        <v>33</v>
      </c>
      <c r="B36" s="23">
        <f t="shared" si="0"/>
        <v>362.0006712328767</v>
      </c>
      <c r="C36" s="15">
        <f t="shared" si="2"/>
        <v>817.9993287671233</v>
      </c>
      <c r="D36" s="15">
        <f t="shared" si="3"/>
        <v>36.089510000000018</v>
      </c>
      <c r="E36" s="15">
        <f t="shared" si="3"/>
        <v>0.21232876712329052</v>
      </c>
      <c r="F36" s="15">
        <f t="shared" si="3"/>
        <v>150</v>
      </c>
      <c r="G36" s="15">
        <f t="shared" si="3"/>
        <v>101.69748999999999</v>
      </c>
      <c r="H36" s="53">
        <f t="shared" si="3"/>
        <v>150</v>
      </c>
      <c r="I36" s="53">
        <f t="shared" si="3"/>
        <v>100</v>
      </c>
      <c r="J36" s="53">
        <f t="shared" si="3"/>
        <v>280</v>
      </c>
      <c r="K36" s="15">
        <v>69.349999999999994</v>
      </c>
      <c r="L36" s="15">
        <v>0</v>
      </c>
      <c r="M36" s="15">
        <v>0</v>
      </c>
      <c r="N36" s="15">
        <v>25.65</v>
      </c>
      <c r="O36" s="15">
        <v>0</v>
      </c>
      <c r="P36" s="15">
        <v>0</v>
      </c>
      <c r="Q36" s="15">
        <v>0</v>
      </c>
      <c r="R36" s="15"/>
      <c r="S36" s="15"/>
      <c r="T36" s="15"/>
      <c r="U36" s="15"/>
      <c r="V36" s="15">
        <f t="shared" si="4"/>
        <v>95</v>
      </c>
      <c r="W36" s="106">
        <f>Summary!$C$20*K36+Summary!$C$21*L36+Summary!$C$22*M36+Summary!$C$23*N36+Summary!$C$24*O36+Summary!$C$25*P36+Summary!$C$26*Q36</f>
        <v>1592.7034999999998</v>
      </c>
      <c r="X36"/>
      <c r="Y36"/>
      <c r="Z36"/>
      <c r="AA36"/>
      <c r="AB36"/>
      <c r="AC36"/>
      <c r="AD36"/>
      <c r="AE36"/>
      <c r="AF36"/>
      <c r="AG36"/>
      <c r="AH36"/>
      <c r="AI36"/>
      <c r="AJ36" t="s">
        <v>71</v>
      </c>
      <c r="AK36"/>
      <c r="AL36"/>
      <c r="AM36"/>
    </row>
    <row r="37" spans="1:39" x14ac:dyDescent="0.3">
      <c r="A37">
        <v>34</v>
      </c>
      <c r="B37" s="23">
        <f t="shared" si="0"/>
        <v>457.00069863013698</v>
      </c>
      <c r="C37" s="15">
        <f t="shared" si="2"/>
        <v>722.99930136986302</v>
      </c>
      <c r="D37" s="15">
        <f t="shared" si="3"/>
        <v>9.5100000000201135E-3</v>
      </c>
      <c r="E37" s="15">
        <f t="shared" si="3"/>
        <v>0.21232876712329052</v>
      </c>
      <c r="F37" s="15">
        <f t="shared" si="3"/>
        <v>150</v>
      </c>
      <c r="G37" s="15">
        <f t="shared" si="3"/>
        <v>92.051462602739718</v>
      </c>
      <c r="H37" s="60">
        <f t="shared" si="3"/>
        <v>150</v>
      </c>
      <c r="I37" s="60">
        <f t="shared" si="3"/>
        <v>50.725999999999999</v>
      </c>
      <c r="J37" s="60">
        <f t="shared" si="3"/>
        <v>280</v>
      </c>
      <c r="K37" s="15">
        <v>36.08</v>
      </c>
      <c r="L37" s="15">
        <v>0</v>
      </c>
      <c r="M37" s="15">
        <v>0</v>
      </c>
      <c r="N37" s="15">
        <f>(26.08/73)*27</f>
        <v>9.6460273972602746</v>
      </c>
      <c r="O37" s="15">
        <v>0</v>
      </c>
      <c r="P37" s="15">
        <f>95-45.726</f>
        <v>49.274000000000001</v>
      </c>
      <c r="Q37" s="15">
        <v>0</v>
      </c>
      <c r="R37" s="15"/>
      <c r="S37" s="15"/>
      <c r="T37" s="15"/>
      <c r="U37" s="15"/>
      <c r="V37" s="15">
        <f>SUM(K37:Q37)</f>
        <v>95.000027397260283</v>
      </c>
      <c r="W37" s="106">
        <f>Summary!$C$20*K37+Summary!$C$21*L37+Summary!$C$22*M37+Summary!$C$23*N37+Summary!$C$24*O37+Summary!$C$25*P37+Summary!$C$26*Q37</f>
        <v>1249.2120871232876</v>
      </c>
      <c r="AJ37" t="s">
        <v>126</v>
      </c>
    </row>
    <row r="38" spans="1:39" x14ac:dyDescent="0.3">
      <c r="A38">
        <v>35</v>
      </c>
      <c r="B38" s="23">
        <f t="shared" si="0"/>
        <v>552.00069863013698</v>
      </c>
      <c r="C38" s="15">
        <f t="shared" si="2"/>
        <v>627.99930136986302</v>
      </c>
      <c r="D38" s="15">
        <f t="shared" si="3"/>
        <v>9.5100000000201135E-3</v>
      </c>
      <c r="E38" s="15">
        <f t="shared" si="3"/>
        <v>0.21232876712329052</v>
      </c>
      <c r="F38" s="15">
        <f t="shared" si="3"/>
        <v>150</v>
      </c>
      <c r="G38" s="15">
        <f t="shared" si="3"/>
        <v>92.051462602739718</v>
      </c>
      <c r="H38" s="15">
        <f t="shared" si="3"/>
        <v>150</v>
      </c>
      <c r="I38" s="15">
        <f t="shared" si="3"/>
        <v>0</v>
      </c>
      <c r="J38" s="15">
        <f t="shared" si="3"/>
        <v>235.726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50.725999999999999</v>
      </c>
      <c r="Q38" s="15">
        <f>95-50.726</f>
        <v>44.274000000000001</v>
      </c>
      <c r="R38" s="15"/>
      <c r="S38" s="15"/>
      <c r="T38" s="15"/>
      <c r="U38" s="15"/>
      <c r="V38" s="15">
        <f t="shared" si="4"/>
        <v>95</v>
      </c>
      <c r="W38" s="106">
        <f>Summary!$C$20*K38+Summary!$C$21*L38+Summary!$C$22*M38+Summary!$C$23*N38+Summary!$C$24*O38+Summary!$C$25*P38+Summary!$C$26*Q38</f>
        <v>947.65725999999995</v>
      </c>
    </row>
    <row r="39" spans="1:39" x14ac:dyDescent="0.3">
      <c r="A39">
        <v>36</v>
      </c>
      <c r="B39" s="23">
        <f t="shared" si="0"/>
        <v>647.00069863013698</v>
      </c>
      <c r="C39" s="15">
        <f t="shared" si="2"/>
        <v>532.99930136986302</v>
      </c>
      <c r="D39" s="15">
        <f t="shared" si="3"/>
        <v>9.5100000000201135E-3</v>
      </c>
      <c r="E39" s="15">
        <f t="shared" si="3"/>
        <v>0.21232876712329052</v>
      </c>
      <c r="F39" s="15">
        <f t="shared" si="3"/>
        <v>150</v>
      </c>
      <c r="G39" s="15">
        <f t="shared" si="3"/>
        <v>92.051462602739718</v>
      </c>
      <c r="H39" s="15">
        <f t="shared" si="3"/>
        <v>150</v>
      </c>
      <c r="I39" s="15">
        <f t="shared" si="3"/>
        <v>0</v>
      </c>
      <c r="J39" s="15">
        <f t="shared" si="3"/>
        <v>140.726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95</v>
      </c>
      <c r="R39" s="15"/>
      <c r="S39" s="15"/>
      <c r="T39" s="15"/>
      <c r="U39" s="15"/>
      <c r="V39" s="15">
        <f t="shared" si="4"/>
        <v>95</v>
      </c>
      <c r="W39" s="106">
        <f>Summary!$C$20*K39+Summary!$C$21*L39+Summary!$C$22*M39+Summary!$C$23*N39+Summary!$C$24*O39+Summary!$C$25*P39+Summary!$C$26*Q39</f>
        <v>947.15000000000009</v>
      </c>
    </row>
    <row r="40" spans="1:39" x14ac:dyDescent="0.3">
      <c r="A40">
        <v>37</v>
      </c>
      <c r="B40" s="23">
        <f t="shared" si="0"/>
        <v>742.00069863013698</v>
      </c>
      <c r="C40" s="15">
        <f t="shared" si="2"/>
        <v>437.99930136986302</v>
      </c>
      <c r="D40" s="15">
        <f t="shared" si="3"/>
        <v>9.5100000000201135E-3</v>
      </c>
      <c r="E40" s="15">
        <f t="shared" si="3"/>
        <v>0.21232876712329052</v>
      </c>
      <c r="F40" s="15">
        <f t="shared" si="3"/>
        <v>150</v>
      </c>
      <c r="G40" s="15">
        <f t="shared" si="3"/>
        <v>92.051462602739718</v>
      </c>
      <c r="H40" s="15">
        <f t="shared" si="3"/>
        <v>150</v>
      </c>
      <c r="I40" s="15">
        <f t="shared" si="3"/>
        <v>0</v>
      </c>
      <c r="J40" s="15">
        <f t="shared" si="3"/>
        <v>45.725999999999999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95</v>
      </c>
      <c r="R40" s="15"/>
      <c r="S40" s="15"/>
      <c r="T40" s="15"/>
      <c r="U40" s="15"/>
      <c r="V40" s="15">
        <f t="shared" si="4"/>
        <v>95</v>
      </c>
      <c r="W40" s="106">
        <f>Summary!$C$20*K40+Summary!$C$21*L40+Summary!$C$22*M40+Summary!$C$23*N40+Summary!$C$24*O40+Summary!$C$25*P40+Summary!$C$26*Q40</f>
        <v>947.15000000000009</v>
      </c>
    </row>
    <row r="41" spans="1:39" x14ac:dyDescent="0.3">
      <c r="A41">
        <v>38</v>
      </c>
      <c r="B41" s="23">
        <f t="shared" si="0"/>
        <v>837.00069863013698</v>
      </c>
      <c r="C41" s="15">
        <f t="shared" si="2"/>
        <v>342.99930136986302</v>
      </c>
      <c r="D41" s="15">
        <f t="shared" si="3"/>
        <v>9.5100000000201135E-3</v>
      </c>
      <c r="E41" s="15">
        <f t="shared" si="3"/>
        <v>0.21232876712329052</v>
      </c>
      <c r="F41" s="15">
        <f t="shared" si="3"/>
        <v>120.43559999999999</v>
      </c>
      <c r="G41" s="15">
        <f t="shared" si="3"/>
        <v>92.051462602739718</v>
      </c>
      <c r="H41" s="15">
        <f t="shared" si="3"/>
        <v>130.29040000000001</v>
      </c>
      <c r="I41" s="15">
        <f t="shared" si="3"/>
        <v>0</v>
      </c>
      <c r="J41" s="15">
        <f t="shared" si="3"/>
        <v>0</v>
      </c>
      <c r="K41" s="15">
        <v>0</v>
      </c>
      <c r="L41" s="15">
        <v>0</v>
      </c>
      <c r="M41" s="15">
        <f>(95-45.726)*0.6</f>
        <v>29.564399999999999</v>
      </c>
      <c r="N41" s="15">
        <v>0</v>
      </c>
      <c r="O41" s="15">
        <f>(95-45.726)*0.4</f>
        <v>19.709600000000002</v>
      </c>
      <c r="P41" s="15">
        <v>0</v>
      </c>
      <c r="Q41" s="15">
        <v>45.725999999999999</v>
      </c>
      <c r="R41" s="15"/>
      <c r="S41" s="15"/>
      <c r="T41" s="15"/>
      <c r="U41" s="15"/>
      <c r="V41" s="15">
        <f t="shared" si="4"/>
        <v>95</v>
      </c>
      <c r="W41" s="106">
        <f>Summary!$C$20*K41+Summary!$C$21*L41+Summary!$C$22*M41+Summary!$C$23*N41+Summary!$C$24*O41+Summary!$C$25*P41+Summary!$C$26*Q41</f>
        <v>1140.895368</v>
      </c>
    </row>
    <row r="42" spans="1:39" x14ac:dyDescent="0.3">
      <c r="A42">
        <v>39</v>
      </c>
      <c r="B42" s="23">
        <f t="shared" si="0"/>
        <v>933.00069863013698</v>
      </c>
      <c r="C42" s="15">
        <f t="shared" si="2"/>
        <v>246.99930136986302</v>
      </c>
      <c r="D42" s="15">
        <f t="shared" si="3"/>
        <v>9.5100000000201135E-3</v>
      </c>
      <c r="E42" s="15">
        <f t="shared" si="3"/>
        <v>0.21232876712329052</v>
      </c>
      <c r="F42" s="15">
        <f t="shared" si="3"/>
        <v>62.835599999999992</v>
      </c>
      <c r="G42" s="15">
        <f t="shared" si="3"/>
        <v>92.051462602739718</v>
      </c>
      <c r="H42" s="15">
        <f t="shared" si="3"/>
        <v>91.8904</v>
      </c>
      <c r="I42" s="15">
        <f t="shared" si="3"/>
        <v>0</v>
      </c>
      <c r="J42" s="15">
        <f t="shared" si="3"/>
        <v>0</v>
      </c>
      <c r="K42" s="15">
        <v>0</v>
      </c>
      <c r="L42" s="15">
        <v>0</v>
      </c>
      <c r="M42" s="15">
        <v>57.6</v>
      </c>
      <c r="N42" s="15">
        <v>0</v>
      </c>
      <c r="O42" s="15">
        <v>38.4</v>
      </c>
      <c r="P42" s="15">
        <v>0</v>
      </c>
      <c r="Q42" s="15">
        <v>0</v>
      </c>
      <c r="R42" s="15"/>
      <c r="S42" s="15"/>
      <c r="T42" s="15"/>
      <c r="U42" s="15"/>
      <c r="V42" s="15">
        <f t="shared" si="4"/>
        <v>96</v>
      </c>
      <c r="W42" s="106">
        <f>Summary!$C$20*K42+Summary!$C$21*L42+Summary!$C$22*M42+Summary!$C$23*N42+Summary!$C$24*O42+Summary!$C$25*P42+Summary!$C$26*Q42</f>
        <v>1334.5920000000001</v>
      </c>
    </row>
    <row r="43" spans="1:39" x14ac:dyDescent="0.3">
      <c r="A43">
        <v>40</v>
      </c>
      <c r="B43" s="23">
        <f t="shared" si="0"/>
        <v>1029.0006986301369</v>
      </c>
      <c r="C43" s="15">
        <f t="shared" si="2"/>
        <v>150.99930136986302</v>
      </c>
      <c r="D43" s="15">
        <f t="shared" si="3"/>
        <v>9.5100000000201135E-3</v>
      </c>
      <c r="E43" s="15">
        <f t="shared" si="3"/>
        <v>0.21232876712329052</v>
      </c>
      <c r="F43" s="15">
        <f t="shared" si="3"/>
        <v>5.2355999999999909</v>
      </c>
      <c r="G43" s="15">
        <f t="shared" si="3"/>
        <v>92.051462602739718</v>
      </c>
      <c r="H43" s="15">
        <f t="shared" si="3"/>
        <v>53.490400000000001</v>
      </c>
      <c r="I43" s="15">
        <f t="shared" si="3"/>
        <v>0</v>
      </c>
      <c r="J43" s="15">
        <f t="shared" si="3"/>
        <v>0</v>
      </c>
      <c r="K43" s="15">
        <v>0</v>
      </c>
      <c r="L43" s="15">
        <v>0</v>
      </c>
      <c r="M43" s="15">
        <v>57.6</v>
      </c>
      <c r="N43" s="15">
        <v>0</v>
      </c>
      <c r="O43" s="15">
        <v>38.4</v>
      </c>
      <c r="P43" s="15">
        <v>0</v>
      </c>
      <c r="Q43" s="15">
        <v>0</v>
      </c>
      <c r="R43" s="15"/>
      <c r="S43" s="15"/>
      <c r="T43" s="15"/>
      <c r="U43" s="15"/>
      <c r="V43" s="15">
        <f t="shared" si="4"/>
        <v>96</v>
      </c>
      <c r="W43" s="106">
        <f>Summary!$C$20*K43+Summary!$C$21*L43+Summary!$C$22*M43+Summary!$C$23*N43+Summary!$C$24*O43+Summary!$C$25*P43+Summary!$C$26*Q43</f>
        <v>1334.5920000000001</v>
      </c>
    </row>
    <row r="44" spans="1:39" x14ac:dyDescent="0.3">
      <c r="B44" s="23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09">
        <f>SUM(W4:W43)</f>
        <v>50107.54856169453</v>
      </c>
    </row>
    <row r="45" spans="1:39" x14ac:dyDescent="0.3">
      <c r="Q45" t="s">
        <v>86</v>
      </c>
      <c r="V45" s="113">
        <f>AVERAGE(V4:V33)</f>
        <v>95.233355707762556</v>
      </c>
      <c r="W45" t="s">
        <v>87</v>
      </c>
    </row>
    <row r="46" spans="1:39" x14ac:dyDescent="0.3">
      <c r="Q46" t="s">
        <v>88</v>
      </c>
      <c r="V46" s="113">
        <f>AVERAGE(V4:V43)</f>
        <v>95.225017465753425</v>
      </c>
      <c r="W46" t="s">
        <v>87</v>
      </c>
    </row>
    <row r="47" spans="1:39" x14ac:dyDescent="0.3">
      <c r="W47" s="28"/>
    </row>
    <row r="48" spans="1:39" x14ac:dyDescent="0.3">
      <c r="Q48" t="s">
        <v>89</v>
      </c>
      <c r="V48" s="117">
        <f>SUM(V4:V43)</f>
        <v>3809.0006986301369</v>
      </c>
      <c r="W48" t="s">
        <v>90</v>
      </c>
    </row>
    <row r="49" spans="17:32" x14ac:dyDescent="0.3">
      <c r="Q49" t="s">
        <v>91</v>
      </c>
      <c r="V49">
        <f>C3</f>
        <v>1050</v>
      </c>
      <c r="W49" t="s">
        <v>90</v>
      </c>
    </row>
    <row r="50" spans="17:32" x14ac:dyDescent="0.3">
      <c r="Q50" t="s">
        <v>92</v>
      </c>
      <c r="V50">
        <v>2910</v>
      </c>
      <c r="W50" t="s">
        <v>90</v>
      </c>
    </row>
    <row r="51" spans="17:32" x14ac:dyDescent="0.3">
      <c r="Q51" t="s">
        <v>93</v>
      </c>
      <c r="V51">
        <f>C45</f>
        <v>0</v>
      </c>
      <c r="W51" t="s">
        <v>90</v>
      </c>
      <c r="AF51">
        <f>V49+V50</f>
        <v>3960</v>
      </c>
    </row>
    <row r="52" spans="17:32" x14ac:dyDescent="0.3">
      <c r="AF52">
        <f>AF51-V48</f>
        <v>150.99930136986313</v>
      </c>
    </row>
    <row r="54" spans="17:32" x14ac:dyDescent="0.3">
      <c r="Q54" t="s">
        <v>94</v>
      </c>
      <c r="V54" s="27">
        <v>9</v>
      </c>
      <c r="W54" t="s">
        <v>95</v>
      </c>
    </row>
    <row r="56" spans="17:32" x14ac:dyDescent="0.3">
      <c r="W56" s="15"/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5E01-A43E-4341-80FB-FB3FD4AC9375}">
  <dimension ref="A1:AK51"/>
  <sheetViews>
    <sheetView zoomScale="70" zoomScaleNormal="80" workbookViewId="0">
      <pane xSplit="1" ySplit="2" topLeftCell="B3" activePane="bottomRight" state="frozen"/>
      <selection pane="topRight" activeCell="AH11" sqref="AH11"/>
      <selection pane="bottomLeft" activeCell="AH11" sqref="AH11"/>
      <selection pane="bottomRight" activeCell="AH11" sqref="AH11"/>
    </sheetView>
  </sheetViews>
  <sheetFormatPr defaultRowHeight="14.4" x14ac:dyDescent="0.3"/>
  <cols>
    <col min="1" max="1" width="7.33203125" customWidth="1"/>
    <col min="2" max="2" width="8.33203125" customWidth="1"/>
    <col min="3" max="3" width="9.6640625" customWidth="1"/>
    <col min="4" max="4" width="14.33203125" bestFit="1" customWidth="1"/>
    <col min="5" max="5" width="12" bestFit="1" customWidth="1"/>
    <col min="6" max="7" width="12.109375" bestFit="1" customWidth="1"/>
    <col min="8" max="8" width="11.5546875" bestFit="1" customWidth="1"/>
    <col min="9" max="10" width="11.33203125" bestFit="1" customWidth="1"/>
    <col min="11" max="16" width="11.44140625" customWidth="1"/>
    <col min="17" max="17" width="12.33203125" customWidth="1"/>
    <col min="18" max="21" width="15.6640625" hidden="1" customWidth="1"/>
    <col min="22" max="22" width="12" customWidth="1"/>
    <col min="23" max="25" width="15.6640625" hidden="1" customWidth="1"/>
    <col min="26" max="26" width="8.6640625" hidden="1" customWidth="1"/>
    <col min="27" max="30" width="0" hidden="1" customWidth="1"/>
    <col min="31" max="31" width="15" bestFit="1" customWidth="1"/>
    <col min="32" max="32" width="21.6640625" bestFit="1" customWidth="1"/>
    <col min="33" max="33" width="27.33203125" customWidth="1"/>
    <col min="34" max="35" width="32.109375" customWidth="1"/>
    <col min="36" max="36" width="20" customWidth="1"/>
  </cols>
  <sheetData>
    <row r="1" spans="1:37" x14ac:dyDescent="0.3">
      <c r="B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37" ht="28.8" x14ac:dyDescent="0.3">
      <c r="A2" s="1" t="s">
        <v>16</v>
      </c>
      <c r="B2" s="7" t="s">
        <v>17</v>
      </c>
      <c r="C2" s="7" t="s">
        <v>109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  <c r="Z2" s="2" t="s">
        <v>41</v>
      </c>
      <c r="AA2" s="2" t="s">
        <v>42</v>
      </c>
      <c r="AB2" s="2" t="s">
        <v>43</v>
      </c>
      <c r="AC2" s="2" t="s">
        <v>44</v>
      </c>
      <c r="AD2" s="2" t="s">
        <v>45</v>
      </c>
      <c r="AE2" s="8" t="s">
        <v>46</v>
      </c>
      <c r="AF2" s="8" t="s">
        <v>47</v>
      </c>
      <c r="AG2" s="8" t="s">
        <v>48</v>
      </c>
      <c r="AH2" s="8" t="s">
        <v>49</v>
      </c>
      <c r="AI2" s="8" t="s">
        <v>50</v>
      </c>
      <c r="AJ2" s="2" t="s">
        <v>92</v>
      </c>
      <c r="AK2" s="2" t="s">
        <v>52</v>
      </c>
    </row>
    <row r="3" spans="1:37" x14ac:dyDescent="0.3">
      <c r="A3" s="5">
        <v>0</v>
      </c>
      <c r="B3" s="5"/>
      <c r="C3" s="5">
        <f>SUM(D3:J3)</f>
        <v>1050</v>
      </c>
      <c r="D3" s="5">
        <v>350</v>
      </c>
      <c r="E3" s="5">
        <v>0</v>
      </c>
      <c r="F3" s="5">
        <v>150</v>
      </c>
      <c r="G3" s="5">
        <v>150</v>
      </c>
      <c r="H3" s="5">
        <v>100</v>
      </c>
      <c r="I3" s="5">
        <v>0</v>
      </c>
      <c r="J3" s="5">
        <v>300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/>
      <c r="S3" s="5"/>
      <c r="T3" s="5"/>
      <c r="U3" s="5"/>
      <c r="V3" s="5">
        <v>0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7" x14ac:dyDescent="0.3">
      <c r="A4">
        <v>1</v>
      </c>
      <c r="B4" s="15">
        <f t="shared" ref="B4:B44" si="0">1180-C4</f>
        <v>130</v>
      </c>
      <c r="C4" s="15">
        <f>SUM(D4:J4)</f>
        <v>1050</v>
      </c>
      <c r="D4" s="15">
        <f>D3-K3</f>
        <v>350</v>
      </c>
      <c r="E4" s="15">
        <v>0</v>
      </c>
      <c r="F4" s="15">
        <v>150</v>
      </c>
      <c r="G4" s="15">
        <f t="shared" ref="G4:G9" si="1">G3-N3</f>
        <v>150</v>
      </c>
      <c r="H4" s="15">
        <v>100</v>
      </c>
      <c r="I4" s="15">
        <v>0</v>
      </c>
      <c r="J4">
        <v>300</v>
      </c>
      <c r="K4" s="15">
        <v>69.3</v>
      </c>
      <c r="L4" s="15">
        <v>0</v>
      </c>
      <c r="M4" s="15">
        <v>0</v>
      </c>
      <c r="N4" s="15">
        <v>25.7</v>
      </c>
      <c r="O4" s="15">
        <v>0</v>
      </c>
      <c r="P4" s="15">
        <v>0</v>
      </c>
      <c r="Q4" s="15">
        <v>0</v>
      </c>
      <c r="R4" s="15" t="s">
        <v>53</v>
      </c>
      <c r="S4" s="15" t="s">
        <v>54</v>
      </c>
      <c r="T4" s="15">
        <v>57.599999999999987</v>
      </c>
      <c r="U4" s="15">
        <v>38.4</v>
      </c>
      <c r="V4" s="15">
        <f>SUM(K4:Q4)</f>
        <v>95</v>
      </c>
      <c r="W4" t="s">
        <v>55</v>
      </c>
      <c r="X4">
        <v>96</v>
      </c>
      <c r="Y4">
        <v>96</v>
      </c>
      <c r="AE4" s="9" t="s">
        <v>132</v>
      </c>
      <c r="AF4" s="5"/>
      <c r="AG4" s="5"/>
      <c r="AH4" s="5"/>
      <c r="AI4" s="5"/>
    </row>
    <row r="5" spans="1:37" x14ac:dyDescent="0.3">
      <c r="A5">
        <v>2</v>
      </c>
      <c r="B5" s="15">
        <f t="shared" si="0"/>
        <v>225</v>
      </c>
      <c r="C5" s="15">
        <f t="shared" ref="C5:C43" si="2">SUM(D5:J5)</f>
        <v>955</v>
      </c>
      <c r="D5" s="15">
        <f t="shared" ref="D5:D43" si="3">D4-K4</f>
        <v>280.7</v>
      </c>
      <c r="E5" s="15">
        <f>E4-L5</f>
        <v>0</v>
      </c>
      <c r="F5" s="15">
        <f>F4-M4</f>
        <v>150</v>
      </c>
      <c r="G5" s="15">
        <f t="shared" si="1"/>
        <v>124.3</v>
      </c>
      <c r="H5" s="15">
        <f>H4-O4</f>
        <v>100</v>
      </c>
      <c r="I5" s="15">
        <f>I4-P4</f>
        <v>0</v>
      </c>
      <c r="J5">
        <f>J4-Q4</f>
        <v>300</v>
      </c>
      <c r="K5" s="15">
        <v>69.3</v>
      </c>
      <c r="L5" s="15">
        <v>0</v>
      </c>
      <c r="M5" s="15">
        <v>0</v>
      </c>
      <c r="N5" s="15">
        <v>25.7</v>
      </c>
      <c r="O5" s="15">
        <v>0</v>
      </c>
      <c r="P5" s="15">
        <v>0</v>
      </c>
      <c r="Q5" s="15">
        <v>0</v>
      </c>
      <c r="R5" s="15" t="s">
        <v>53</v>
      </c>
      <c r="S5" s="15" t="s">
        <v>54</v>
      </c>
      <c r="T5" s="15">
        <v>57.599999999999987</v>
      </c>
      <c r="U5" s="15">
        <v>38.4</v>
      </c>
      <c r="V5" s="15">
        <f t="shared" ref="V5:V43" si="4">SUM(K5:Q5)</f>
        <v>95</v>
      </c>
      <c r="W5" t="s">
        <v>55</v>
      </c>
      <c r="X5">
        <v>96</v>
      </c>
      <c r="Y5">
        <v>96</v>
      </c>
      <c r="AE5" s="9" t="s">
        <v>133</v>
      </c>
      <c r="AF5" s="5"/>
      <c r="AG5" s="5"/>
      <c r="AH5" s="5"/>
      <c r="AI5" s="5"/>
    </row>
    <row r="6" spans="1:37" x14ac:dyDescent="0.3">
      <c r="A6">
        <v>3</v>
      </c>
      <c r="B6" s="15">
        <f t="shared" si="0"/>
        <v>320</v>
      </c>
      <c r="C6" s="15">
        <f t="shared" si="2"/>
        <v>860</v>
      </c>
      <c r="D6" s="15">
        <f t="shared" si="3"/>
        <v>211.39999999999998</v>
      </c>
      <c r="E6" s="15">
        <f t="shared" ref="E6:E43" si="5">E5-L6</f>
        <v>0</v>
      </c>
      <c r="F6" s="15">
        <f t="shared" ref="F6:G21" si="6">F5-M5</f>
        <v>150</v>
      </c>
      <c r="G6" s="15">
        <f t="shared" si="1"/>
        <v>98.6</v>
      </c>
      <c r="H6" s="15">
        <f>H5-O5</f>
        <v>100</v>
      </c>
      <c r="I6" s="15">
        <f t="shared" ref="I6:J21" si="7">I5-P5</f>
        <v>0</v>
      </c>
      <c r="J6">
        <f t="shared" si="7"/>
        <v>300</v>
      </c>
      <c r="K6" s="15">
        <v>69.3</v>
      </c>
      <c r="L6" s="15">
        <v>0</v>
      </c>
      <c r="M6" s="15">
        <v>0</v>
      </c>
      <c r="N6" s="15">
        <v>25.7</v>
      </c>
      <c r="O6" s="15">
        <v>0</v>
      </c>
      <c r="P6" s="15">
        <v>0</v>
      </c>
      <c r="Q6" s="15">
        <v>0</v>
      </c>
      <c r="R6" s="15" t="s">
        <v>53</v>
      </c>
      <c r="S6" s="15" t="s">
        <v>54</v>
      </c>
      <c r="T6" s="15">
        <v>34.799999999999997</v>
      </c>
      <c r="U6" s="15">
        <v>23.2</v>
      </c>
      <c r="V6" s="15">
        <f t="shared" si="4"/>
        <v>95</v>
      </c>
      <c r="W6" t="s">
        <v>55</v>
      </c>
      <c r="X6">
        <v>58.000000000000007</v>
      </c>
      <c r="Y6">
        <v>96</v>
      </c>
      <c r="AE6" s="10" t="s">
        <v>58</v>
      </c>
      <c r="AF6" s="5"/>
      <c r="AG6" s="5"/>
      <c r="AH6" s="5"/>
      <c r="AI6" s="5"/>
    </row>
    <row r="7" spans="1:37" x14ac:dyDescent="0.3">
      <c r="A7">
        <v>4</v>
      </c>
      <c r="B7" s="15">
        <f t="shared" si="0"/>
        <v>415</v>
      </c>
      <c r="C7" s="15">
        <f t="shared" si="2"/>
        <v>765</v>
      </c>
      <c r="D7" s="15">
        <f t="shared" si="3"/>
        <v>142.09999999999997</v>
      </c>
      <c r="E7" s="15">
        <f t="shared" si="5"/>
        <v>0</v>
      </c>
      <c r="F7" s="15">
        <f t="shared" si="6"/>
        <v>150</v>
      </c>
      <c r="G7" s="15">
        <f t="shared" si="1"/>
        <v>72.899999999999991</v>
      </c>
      <c r="H7" s="15">
        <f>H6-O6</f>
        <v>100</v>
      </c>
      <c r="I7" s="15">
        <f t="shared" si="7"/>
        <v>0</v>
      </c>
      <c r="J7">
        <f t="shared" si="7"/>
        <v>300</v>
      </c>
      <c r="K7" s="15">
        <v>69.3</v>
      </c>
      <c r="L7" s="15">
        <v>0</v>
      </c>
      <c r="M7" s="15">
        <v>0</v>
      </c>
      <c r="N7" s="15">
        <v>25.7</v>
      </c>
      <c r="O7" s="15">
        <v>0</v>
      </c>
      <c r="P7" s="15">
        <v>0</v>
      </c>
      <c r="Q7" s="15">
        <v>0</v>
      </c>
      <c r="R7" s="15" t="s">
        <v>59</v>
      </c>
      <c r="S7" s="15" t="s">
        <v>60</v>
      </c>
      <c r="T7" s="15">
        <v>25.65</v>
      </c>
      <c r="U7" s="15">
        <v>69.349999999999994</v>
      </c>
      <c r="V7" s="15">
        <f t="shared" si="4"/>
        <v>95</v>
      </c>
      <c r="W7" t="s">
        <v>61</v>
      </c>
      <c r="X7">
        <v>95</v>
      </c>
      <c r="Y7">
        <v>95</v>
      </c>
      <c r="AE7" s="10" t="s">
        <v>58</v>
      </c>
      <c r="AF7" s="5"/>
      <c r="AG7" s="5"/>
      <c r="AH7" s="5"/>
      <c r="AI7" s="5"/>
    </row>
    <row r="8" spans="1:37" x14ac:dyDescent="0.3">
      <c r="A8">
        <v>5</v>
      </c>
      <c r="B8" s="15">
        <f t="shared" si="0"/>
        <v>510</v>
      </c>
      <c r="C8" s="15">
        <f>SUM(D8:J8)</f>
        <v>670</v>
      </c>
      <c r="D8" s="15">
        <f t="shared" si="3"/>
        <v>72.799999999999969</v>
      </c>
      <c r="E8" s="15">
        <f>E7-L8</f>
        <v>0</v>
      </c>
      <c r="F8" s="15">
        <f t="shared" si="6"/>
        <v>150</v>
      </c>
      <c r="G8" s="15">
        <f t="shared" si="1"/>
        <v>47.199999999999989</v>
      </c>
      <c r="H8" s="15">
        <f t="shared" ref="H8:J23" si="8">H7-O7</f>
        <v>100</v>
      </c>
      <c r="I8" s="15">
        <f t="shared" si="7"/>
        <v>0</v>
      </c>
      <c r="J8">
        <f t="shared" si="7"/>
        <v>300</v>
      </c>
      <c r="K8" s="15">
        <v>69.3</v>
      </c>
      <c r="L8" s="15">
        <v>0</v>
      </c>
      <c r="M8" s="15">
        <v>0</v>
      </c>
      <c r="N8" s="15">
        <v>25.7</v>
      </c>
      <c r="O8" s="15">
        <v>0</v>
      </c>
      <c r="P8" s="15">
        <v>0</v>
      </c>
      <c r="Q8" s="15">
        <v>0</v>
      </c>
      <c r="R8" s="15" t="s">
        <v>62</v>
      </c>
      <c r="S8" s="15" t="s">
        <v>60</v>
      </c>
      <c r="T8" s="15">
        <v>25.92</v>
      </c>
      <c r="U8" s="15">
        <v>70.08</v>
      </c>
      <c r="V8" s="15">
        <f t="shared" si="4"/>
        <v>95</v>
      </c>
      <c r="W8" t="s">
        <v>61</v>
      </c>
      <c r="X8">
        <v>96</v>
      </c>
      <c r="Y8">
        <v>96</v>
      </c>
      <c r="AE8" s="11" t="s">
        <v>63</v>
      </c>
      <c r="AF8" s="5" t="s">
        <v>64</v>
      </c>
      <c r="AG8" s="5"/>
      <c r="AH8" s="5"/>
      <c r="AI8" s="5"/>
    </row>
    <row r="9" spans="1:37" x14ac:dyDescent="0.3">
      <c r="A9">
        <v>6</v>
      </c>
      <c r="B9" s="15">
        <f t="shared" si="0"/>
        <v>605</v>
      </c>
      <c r="C9" s="15">
        <f t="shared" si="2"/>
        <v>575</v>
      </c>
      <c r="D9" s="15">
        <f t="shared" si="3"/>
        <v>3.4999999999999716</v>
      </c>
      <c r="E9" s="15">
        <f t="shared" si="5"/>
        <v>0</v>
      </c>
      <c r="F9" s="15">
        <f t="shared" si="6"/>
        <v>150</v>
      </c>
      <c r="G9" s="15">
        <f t="shared" si="1"/>
        <v>21.499999999999989</v>
      </c>
      <c r="H9" s="15">
        <f t="shared" si="8"/>
        <v>100</v>
      </c>
      <c r="I9" s="15">
        <f t="shared" si="7"/>
        <v>0</v>
      </c>
      <c r="J9">
        <f t="shared" si="7"/>
        <v>300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95</v>
      </c>
      <c r="R9" s="15" t="s">
        <v>62</v>
      </c>
      <c r="S9" s="15" t="s">
        <v>60</v>
      </c>
      <c r="T9" s="15">
        <v>25.92</v>
      </c>
      <c r="U9" s="15">
        <v>70.08</v>
      </c>
      <c r="V9" s="15">
        <f t="shared" si="4"/>
        <v>95</v>
      </c>
      <c r="W9" t="s">
        <v>61</v>
      </c>
      <c r="X9">
        <v>96</v>
      </c>
      <c r="Y9">
        <v>96</v>
      </c>
      <c r="AE9" s="11" t="s">
        <v>63</v>
      </c>
      <c r="AF9" s="5" t="s">
        <v>65</v>
      </c>
      <c r="AG9" s="5"/>
      <c r="AH9" s="5"/>
      <c r="AI9" s="5"/>
    </row>
    <row r="10" spans="1:37" x14ac:dyDescent="0.3">
      <c r="A10">
        <v>7</v>
      </c>
      <c r="B10" s="15">
        <f t="shared" si="0"/>
        <v>700</v>
      </c>
      <c r="C10" s="15">
        <f t="shared" si="2"/>
        <v>480</v>
      </c>
      <c r="D10" s="15">
        <f t="shared" si="3"/>
        <v>3.4999999999999716</v>
      </c>
      <c r="E10" s="15">
        <f t="shared" si="5"/>
        <v>0</v>
      </c>
      <c r="F10" s="15">
        <f t="shared" si="6"/>
        <v>150</v>
      </c>
      <c r="G10" s="15">
        <f t="shared" si="6"/>
        <v>21.499999999999989</v>
      </c>
      <c r="H10" s="15">
        <f t="shared" si="8"/>
        <v>100</v>
      </c>
      <c r="I10" s="15">
        <f t="shared" si="7"/>
        <v>0</v>
      </c>
      <c r="J10">
        <f t="shared" si="7"/>
        <v>205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95</v>
      </c>
      <c r="R10" s="15" t="s">
        <v>62</v>
      </c>
      <c r="S10" s="15" t="s">
        <v>60</v>
      </c>
      <c r="T10" s="15">
        <v>25.92</v>
      </c>
      <c r="U10" s="15">
        <v>70.08</v>
      </c>
      <c r="V10" s="15">
        <f t="shared" si="4"/>
        <v>95</v>
      </c>
      <c r="W10" t="s">
        <v>61</v>
      </c>
      <c r="X10">
        <v>96</v>
      </c>
      <c r="Y10">
        <v>96</v>
      </c>
      <c r="AE10" s="12" t="s">
        <v>66</v>
      </c>
      <c r="AF10" s="5" t="s">
        <v>67</v>
      </c>
      <c r="AG10" s="5"/>
      <c r="AH10" s="5"/>
      <c r="AI10" s="5"/>
    </row>
    <row r="11" spans="1:37" x14ac:dyDescent="0.3">
      <c r="A11">
        <v>8</v>
      </c>
      <c r="B11" s="15">
        <f t="shared" si="0"/>
        <v>795</v>
      </c>
      <c r="C11" s="15">
        <f t="shared" si="2"/>
        <v>385</v>
      </c>
      <c r="D11" s="15">
        <f t="shared" si="3"/>
        <v>3.4999999999999716</v>
      </c>
      <c r="E11" s="15">
        <f t="shared" si="5"/>
        <v>0</v>
      </c>
      <c r="F11" s="15">
        <f t="shared" si="6"/>
        <v>150</v>
      </c>
      <c r="G11" s="15">
        <f t="shared" si="6"/>
        <v>21.499999999999989</v>
      </c>
      <c r="H11" s="15">
        <f t="shared" si="8"/>
        <v>100</v>
      </c>
      <c r="I11" s="15">
        <f t="shared" si="7"/>
        <v>0</v>
      </c>
      <c r="J11">
        <f t="shared" si="7"/>
        <v>110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95</v>
      </c>
      <c r="R11" s="15" t="s">
        <v>62</v>
      </c>
      <c r="S11" s="15" t="s">
        <v>60</v>
      </c>
      <c r="T11" s="15">
        <v>25.92</v>
      </c>
      <c r="U11" s="15">
        <v>70.08</v>
      </c>
      <c r="V11" s="15">
        <f t="shared" si="4"/>
        <v>95</v>
      </c>
      <c r="W11" t="s">
        <v>61</v>
      </c>
      <c r="X11">
        <v>96</v>
      </c>
      <c r="Y11">
        <v>96</v>
      </c>
      <c r="AE11" s="12" t="s">
        <v>66</v>
      </c>
      <c r="AF11" s="5" t="s">
        <v>58</v>
      </c>
      <c r="AG11" s="5" t="s">
        <v>69</v>
      </c>
      <c r="AH11" s="5"/>
      <c r="AI11" s="5"/>
    </row>
    <row r="12" spans="1:37" x14ac:dyDescent="0.3">
      <c r="A12">
        <v>9</v>
      </c>
      <c r="B12" s="15">
        <f t="shared" si="0"/>
        <v>890</v>
      </c>
      <c r="C12" s="15">
        <f t="shared" si="2"/>
        <v>290</v>
      </c>
      <c r="D12" s="15">
        <f t="shared" si="3"/>
        <v>3.4999999999999716</v>
      </c>
      <c r="E12" s="15">
        <f t="shared" si="5"/>
        <v>0</v>
      </c>
      <c r="F12" s="15">
        <f t="shared" si="6"/>
        <v>150</v>
      </c>
      <c r="G12" s="15">
        <f t="shared" si="6"/>
        <v>21.499999999999989</v>
      </c>
      <c r="H12" s="15">
        <f t="shared" si="8"/>
        <v>100</v>
      </c>
      <c r="I12" s="15">
        <f>I11-P11</f>
        <v>0</v>
      </c>
      <c r="J12">
        <f>J11-Q11</f>
        <v>15</v>
      </c>
      <c r="K12" s="15">
        <v>0</v>
      </c>
      <c r="L12" s="15">
        <v>0</v>
      </c>
      <c r="M12" s="15">
        <f>(95-15)*0.6</f>
        <v>48</v>
      </c>
      <c r="N12" s="15">
        <v>0</v>
      </c>
      <c r="O12" s="15">
        <f>(95-15)*0.4</f>
        <v>32</v>
      </c>
      <c r="P12" s="15">
        <v>0</v>
      </c>
      <c r="Q12" s="15">
        <v>15</v>
      </c>
      <c r="R12" s="15" t="s">
        <v>62</v>
      </c>
      <c r="S12" s="15" t="s">
        <v>60</v>
      </c>
      <c r="T12" s="15">
        <v>25.92</v>
      </c>
      <c r="U12" s="15">
        <v>70.08</v>
      </c>
      <c r="V12" s="15">
        <f>SUM(K12:Q12)</f>
        <v>95</v>
      </c>
      <c r="W12" t="s">
        <v>61</v>
      </c>
      <c r="X12">
        <v>96</v>
      </c>
      <c r="Y12">
        <v>96</v>
      </c>
      <c r="AE12" s="12" t="s">
        <v>66</v>
      </c>
      <c r="AF12" s="5" t="s">
        <v>58</v>
      </c>
      <c r="AG12" s="5" t="s">
        <v>81</v>
      </c>
      <c r="AH12" s="5"/>
      <c r="AI12" s="5"/>
    </row>
    <row r="13" spans="1:37" s="6" customFormat="1" x14ac:dyDescent="0.3">
      <c r="A13" s="6">
        <v>10</v>
      </c>
      <c r="B13" s="16">
        <f t="shared" si="0"/>
        <v>435</v>
      </c>
      <c r="C13" s="16">
        <f t="shared" si="2"/>
        <v>745</v>
      </c>
      <c r="D13" s="16">
        <f>D12-K12+400</f>
        <v>403.5</v>
      </c>
      <c r="E13" s="16">
        <f>E12-L13+150</f>
        <v>150</v>
      </c>
      <c r="F13" s="16">
        <f t="shared" si="6"/>
        <v>102</v>
      </c>
      <c r="G13" s="16">
        <f t="shared" si="6"/>
        <v>21.499999999999989</v>
      </c>
      <c r="H13" s="16">
        <f t="shared" si="8"/>
        <v>68</v>
      </c>
      <c r="I13" s="16">
        <f t="shared" si="7"/>
        <v>0</v>
      </c>
      <c r="J13" s="6">
        <f>J12-Q12</f>
        <v>0</v>
      </c>
      <c r="K13" s="16">
        <v>0</v>
      </c>
      <c r="L13" s="16">
        <v>0</v>
      </c>
      <c r="M13" s="16">
        <v>57.6</v>
      </c>
      <c r="N13" s="16">
        <v>0</v>
      </c>
      <c r="O13" s="16">
        <v>38.4</v>
      </c>
      <c r="P13" s="16">
        <v>0</v>
      </c>
      <c r="Q13" s="16">
        <v>0</v>
      </c>
      <c r="R13" s="16" t="s">
        <v>62</v>
      </c>
      <c r="S13" s="16" t="s">
        <v>60</v>
      </c>
      <c r="T13" s="16">
        <v>20.399999999999991</v>
      </c>
      <c r="U13" s="16">
        <v>55.15555555555553</v>
      </c>
      <c r="V13" s="16">
        <f t="shared" si="4"/>
        <v>96</v>
      </c>
      <c r="W13" s="6" t="s">
        <v>61</v>
      </c>
      <c r="X13" s="6">
        <v>75.555555555555515</v>
      </c>
      <c r="Y13" s="6">
        <v>96</v>
      </c>
      <c r="AE13" s="6" t="s">
        <v>68</v>
      </c>
      <c r="AF13" s="13" t="s">
        <v>58</v>
      </c>
      <c r="AG13" s="13" t="s">
        <v>81</v>
      </c>
      <c r="AH13" s="13"/>
      <c r="AI13" s="13"/>
    </row>
    <row r="14" spans="1:37" x14ac:dyDescent="0.3">
      <c r="A14">
        <v>11</v>
      </c>
      <c r="B14" s="15">
        <f t="shared" si="0"/>
        <v>536.94000000000005</v>
      </c>
      <c r="C14" s="15">
        <f t="shared" si="2"/>
        <v>643.05999999999995</v>
      </c>
      <c r="D14" s="15">
        <f t="shared" si="3"/>
        <v>403.5</v>
      </c>
      <c r="E14" s="15">
        <f t="shared" si="5"/>
        <v>144.06</v>
      </c>
      <c r="F14" s="15">
        <f t="shared" si="6"/>
        <v>44.4</v>
      </c>
      <c r="G14" s="15">
        <f t="shared" si="6"/>
        <v>21.499999999999989</v>
      </c>
      <c r="H14" s="15">
        <f t="shared" si="8"/>
        <v>29.6</v>
      </c>
      <c r="I14" s="15">
        <f t="shared" si="7"/>
        <v>0</v>
      </c>
      <c r="J14">
        <f>J13-Q13</f>
        <v>0</v>
      </c>
      <c r="K14" s="15">
        <f>(96-74)*0.73</f>
        <v>16.059999999999999</v>
      </c>
      <c r="L14" s="15">
        <f>(96-74)*0.27</f>
        <v>5.94</v>
      </c>
      <c r="M14" s="15">
        <v>44.4</v>
      </c>
      <c r="N14" s="15">
        <v>0</v>
      </c>
      <c r="O14" s="15">
        <f>(M14/60)*40</f>
        <v>29.6</v>
      </c>
      <c r="P14" s="15">
        <v>0</v>
      </c>
      <c r="Q14" s="15">
        <v>0</v>
      </c>
      <c r="R14" s="15" t="s">
        <v>59</v>
      </c>
      <c r="S14" s="15" t="s">
        <v>60</v>
      </c>
      <c r="T14" s="15">
        <v>25.65</v>
      </c>
      <c r="U14" s="15">
        <v>69.349999999999994</v>
      </c>
      <c r="V14" s="15">
        <f t="shared" si="4"/>
        <v>96</v>
      </c>
      <c r="W14" t="s">
        <v>61</v>
      </c>
      <c r="X14">
        <v>95</v>
      </c>
      <c r="Y14">
        <v>95</v>
      </c>
      <c r="AF14" s="5" t="s">
        <v>63</v>
      </c>
      <c r="AG14" s="5" t="s">
        <v>81</v>
      </c>
      <c r="AH14" s="5"/>
      <c r="AI14" s="5"/>
    </row>
    <row r="15" spans="1:37" x14ac:dyDescent="0.3">
      <c r="A15">
        <v>12</v>
      </c>
      <c r="B15" s="15">
        <f t="shared" si="0"/>
        <v>653</v>
      </c>
      <c r="C15" s="15">
        <f t="shared" si="2"/>
        <v>527</v>
      </c>
      <c r="D15" s="15">
        <f t="shared" si="3"/>
        <v>387.44</v>
      </c>
      <c r="E15" s="15">
        <f t="shared" si="5"/>
        <v>118.06</v>
      </c>
      <c r="F15" s="15">
        <f t="shared" si="6"/>
        <v>0</v>
      </c>
      <c r="G15" s="15">
        <f t="shared" si="6"/>
        <v>21.499999999999989</v>
      </c>
      <c r="H15" s="15">
        <f>H14-O14</f>
        <v>0</v>
      </c>
      <c r="I15" s="15">
        <f t="shared" si="7"/>
        <v>0</v>
      </c>
      <c r="J15">
        <f t="shared" si="7"/>
        <v>0</v>
      </c>
      <c r="K15">
        <v>70</v>
      </c>
      <c r="L15">
        <v>26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59</v>
      </c>
      <c r="S15" t="s">
        <v>60</v>
      </c>
      <c r="T15">
        <v>25.65</v>
      </c>
      <c r="U15">
        <v>69.349999999999994</v>
      </c>
      <c r="V15">
        <f t="shared" si="4"/>
        <v>96</v>
      </c>
      <c r="W15" t="s">
        <v>61</v>
      </c>
      <c r="X15">
        <v>95</v>
      </c>
      <c r="Y15">
        <v>95</v>
      </c>
      <c r="AF15" s="5" t="s">
        <v>63</v>
      </c>
      <c r="AG15" s="14" t="s">
        <v>70</v>
      </c>
    </row>
    <row r="16" spans="1:37" x14ac:dyDescent="0.3">
      <c r="A16">
        <v>13</v>
      </c>
      <c r="B16" s="15">
        <f t="shared" si="0"/>
        <v>749</v>
      </c>
      <c r="C16" s="15">
        <f t="shared" si="2"/>
        <v>431</v>
      </c>
      <c r="D16" s="15">
        <f t="shared" si="3"/>
        <v>317.44</v>
      </c>
      <c r="E16" s="15">
        <f t="shared" si="5"/>
        <v>92.06</v>
      </c>
      <c r="F16" s="15">
        <f t="shared" si="6"/>
        <v>0</v>
      </c>
      <c r="G16" s="15">
        <f t="shared" si="6"/>
        <v>21.499999999999989</v>
      </c>
      <c r="H16" s="15">
        <f t="shared" si="8"/>
        <v>0</v>
      </c>
      <c r="I16" s="15">
        <f t="shared" si="7"/>
        <v>0</v>
      </c>
      <c r="J16">
        <f t="shared" si="7"/>
        <v>0</v>
      </c>
      <c r="K16">
        <v>70</v>
      </c>
      <c r="L16">
        <v>26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59</v>
      </c>
      <c r="S16" t="s">
        <v>60</v>
      </c>
      <c r="T16">
        <v>25.65</v>
      </c>
      <c r="U16">
        <v>69.349999999999994</v>
      </c>
      <c r="V16">
        <f t="shared" si="4"/>
        <v>96</v>
      </c>
      <c r="W16" t="s">
        <v>61</v>
      </c>
      <c r="X16">
        <v>95</v>
      </c>
      <c r="Y16">
        <v>95</v>
      </c>
      <c r="AF16" s="5" t="s">
        <v>71</v>
      </c>
      <c r="AG16" s="5" t="s">
        <v>134</v>
      </c>
    </row>
    <row r="17" spans="1:35" x14ac:dyDescent="0.3">
      <c r="A17">
        <v>14</v>
      </c>
      <c r="B17" s="15">
        <f t="shared" si="0"/>
        <v>845</v>
      </c>
      <c r="C17" s="15">
        <f t="shared" si="2"/>
        <v>335</v>
      </c>
      <c r="D17" s="15">
        <f t="shared" si="3"/>
        <v>247.44</v>
      </c>
      <c r="E17" s="15">
        <f>E16-L17</f>
        <v>66.06</v>
      </c>
      <c r="F17" s="15">
        <f>F16-M16</f>
        <v>0</v>
      </c>
      <c r="G17" s="15">
        <f t="shared" si="6"/>
        <v>21.499999999999989</v>
      </c>
      <c r="H17" s="15">
        <f t="shared" si="8"/>
        <v>0</v>
      </c>
      <c r="I17" s="15">
        <f t="shared" si="7"/>
        <v>0</v>
      </c>
      <c r="J17">
        <f>J16-Q16</f>
        <v>0</v>
      </c>
      <c r="K17">
        <v>70</v>
      </c>
      <c r="L17">
        <v>26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59</v>
      </c>
      <c r="S17" t="s">
        <v>60</v>
      </c>
      <c r="T17">
        <v>24.797260273972611</v>
      </c>
      <c r="U17">
        <v>67.044444444444451</v>
      </c>
      <c r="V17">
        <f t="shared" si="4"/>
        <v>96</v>
      </c>
      <c r="W17" t="s">
        <v>61</v>
      </c>
      <c r="X17">
        <v>91.841704718417063</v>
      </c>
      <c r="Y17">
        <v>95</v>
      </c>
      <c r="AF17" s="5" t="s">
        <v>71</v>
      </c>
      <c r="AG17" s="5" t="s">
        <v>58</v>
      </c>
    </row>
    <row r="18" spans="1:35" x14ac:dyDescent="0.3">
      <c r="A18">
        <v>15</v>
      </c>
      <c r="B18" s="15">
        <f t="shared" si="0"/>
        <v>941</v>
      </c>
      <c r="C18" s="15">
        <f t="shared" si="2"/>
        <v>239</v>
      </c>
      <c r="D18" s="15">
        <f>D17-K17</f>
        <v>177.44</v>
      </c>
      <c r="E18" s="15">
        <f t="shared" si="5"/>
        <v>40.06</v>
      </c>
      <c r="F18" s="15">
        <f t="shared" si="6"/>
        <v>0</v>
      </c>
      <c r="G18" s="15">
        <f t="shared" si="6"/>
        <v>21.499999999999989</v>
      </c>
      <c r="H18" s="15">
        <f t="shared" si="8"/>
        <v>0</v>
      </c>
      <c r="I18" s="15">
        <f t="shared" si="7"/>
        <v>0</v>
      </c>
      <c r="J18" s="15">
        <f t="shared" si="7"/>
        <v>0</v>
      </c>
      <c r="K18" s="15">
        <v>70</v>
      </c>
      <c r="L18" s="15">
        <v>26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 t="s">
        <v>53</v>
      </c>
      <c r="S18" s="15"/>
      <c r="T18" s="15">
        <v>7.1054273576010019E-15</v>
      </c>
      <c r="U18" s="15">
        <v>0</v>
      </c>
      <c r="V18" s="15">
        <f t="shared" si="4"/>
        <v>96</v>
      </c>
      <c r="W18" t="s">
        <v>72</v>
      </c>
      <c r="X18">
        <v>7.1054273576010019E-15</v>
      </c>
      <c r="Y18">
        <v>96</v>
      </c>
      <c r="AF18" s="5" t="s">
        <v>71</v>
      </c>
      <c r="AG18" s="5" t="s">
        <v>58</v>
      </c>
    </row>
    <row r="19" spans="1:35" s="6" customFormat="1" x14ac:dyDescent="0.3">
      <c r="A19" s="6">
        <v>16</v>
      </c>
      <c r="B19" s="16">
        <f t="shared" si="0"/>
        <v>467</v>
      </c>
      <c r="C19" s="16">
        <f t="shared" si="2"/>
        <v>713</v>
      </c>
      <c r="D19" s="16">
        <f>D18-K18</f>
        <v>107.44</v>
      </c>
      <c r="E19" s="16">
        <f t="shared" si="5"/>
        <v>14.060000000000002</v>
      </c>
      <c r="F19" s="16">
        <f>F18-M18</f>
        <v>0</v>
      </c>
      <c r="G19" s="16">
        <f t="shared" si="6"/>
        <v>21.499999999999989</v>
      </c>
      <c r="H19" s="16">
        <f t="shared" si="8"/>
        <v>0</v>
      </c>
      <c r="I19" s="16">
        <f>I18-P18+250</f>
        <v>250</v>
      </c>
      <c r="J19" s="16">
        <f>J18-Q18+320</f>
        <v>320</v>
      </c>
      <c r="K19" s="16">
        <v>70</v>
      </c>
      <c r="L19" s="16">
        <v>26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 t="s">
        <v>59</v>
      </c>
      <c r="S19" s="16"/>
      <c r="T19" s="16">
        <v>95</v>
      </c>
      <c r="U19" s="16">
        <v>0</v>
      </c>
      <c r="V19" s="16">
        <f t="shared" si="4"/>
        <v>96</v>
      </c>
      <c r="W19" s="6" t="s">
        <v>72</v>
      </c>
      <c r="X19" s="6">
        <v>95</v>
      </c>
      <c r="Y19" s="6">
        <v>95</v>
      </c>
      <c r="AF19" s="13" t="s">
        <v>74</v>
      </c>
      <c r="AG19" s="13" t="s">
        <v>58</v>
      </c>
    </row>
    <row r="20" spans="1:35" x14ac:dyDescent="0.3">
      <c r="A20">
        <v>17</v>
      </c>
      <c r="B20" s="15">
        <f t="shared" si="0"/>
        <v>550.84767123287679</v>
      </c>
      <c r="C20" s="15">
        <f t="shared" si="2"/>
        <v>629.15232876712321</v>
      </c>
      <c r="D20" s="15">
        <f>D19-K19</f>
        <v>37.44</v>
      </c>
      <c r="E20" s="15">
        <f t="shared" si="5"/>
        <v>0.21232876712329052</v>
      </c>
      <c r="F20" s="15">
        <f>F19-M19</f>
        <v>0</v>
      </c>
      <c r="G20" s="15">
        <f t="shared" si="6"/>
        <v>21.499999999999989</v>
      </c>
      <c r="H20" s="15">
        <f t="shared" si="8"/>
        <v>0</v>
      </c>
      <c r="I20" s="15">
        <f>I19-P19</f>
        <v>250</v>
      </c>
      <c r="J20" s="15">
        <f t="shared" si="7"/>
        <v>320</v>
      </c>
      <c r="K20" s="15">
        <v>37.44</v>
      </c>
      <c r="L20" s="15">
        <f>(37.44/73)*27</f>
        <v>13.847671232876712</v>
      </c>
      <c r="M20" s="15">
        <v>0</v>
      </c>
      <c r="N20" s="15">
        <v>0</v>
      </c>
      <c r="O20" s="15">
        <v>0</v>
      </c>
      <c r="P20" s="15">
        <f>95-51.287</f>
        <v>43.713000000000001</v>
      </c>
      <c r="Q20" s="15">
        <v>0</v>
      </c>
      <c r="R20" s="15" t="s">
        <v>59</v>
      </c>
      <c r="S20" s="15"/>
      <c r="T20" s="15">
        <v>77.60273972602738</v>
      </c>
      <c r="U20" s="15">
        <v>0</v>
      </c>
      <c r="V20" s="15">
        <f t="shared" si="4"/>
        <v>95.000671232876712</v>
      </c>
      <c r="W20" t="s">
        <v>72</v>
      </c>
      <c r="X20">
        <v>77.60273972602738</v>
      </c>
      <c r="Y20">
        <v>95</v>
      </c>
      <c r="AG20" s="5" t="s">
        <v>63</v>
      </c>
    </row>
    <row r="21" spans="1:35" x14ac:dyDescent="0.3">
      <c r="A21">
        <v>18</v>
      </c>
      <c r="B21" s="15">
        <f t="shared" si="0"/>
        <v>632.0006712328767</v>
      </c>
      <c r="C21" s="15">
        <f>SUM(D21:J21)</f>
        <v>547.9993287671233</v>
      </c>
      <c r="D21" s="15">
        <f>D20-K20</f>
        <v>0</v>
      </c>
      <c r="E21" s="15">
        <f>E20-L21</f>
        <v>0.21232876712329052</v>
      </c>
      <c r="F21" s="15">
        <f t="shared" si="6"/>
        <v>0</v>
      </c>
      <c r="G21" s="15">
        <f t="shared" si="6"/>
        <v>21.499999999999989</v>
      </c>
      <c r="H21" s="15">
        <f t="shared" si="8"/>
        <v>0</v>
      </c>
      <c r="I21" s="15">
        <f>I20-P20</f>
        <v>206.28700000000001</v>
      </c>
      <c r="J21" s="15">
        <f t="shared" si="7"/>
        <v>320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95</v>
      </c>
      <c r="Q21" s="15">
        <v>0</v>
      </c>
      <c r="R21" s="15" t="s">
        <v>75</v>
      </c>
      <c r="S21" s="15"/>
      <c r="T21" s="15">
        <v>95</v>
      </c>
      <c r="U21" s="15">
        <v>0</v>
      </c>
      <c r="V21" s="15">
        <f t="shared" si="4"/>
        <v>95</v>
      </c>
      <c r="W21" t="s">
        <v>72</v>
      </c>
      <c r="X21">
        <v>95</v>
      </c>
      <c r="Y21">
        <v>95</v>
      </c>
      <c r="AG21" s="5" t="s">
        <v>63</v>
      </c>
      <c r="AH21" t="s">
        <v>77</v>
      </c>
    </row>
    <row r="22" spans="1:35" x14ac:dyDescent="0.3">
      <c r="A22">
        <v>19</v>
      </c>
      <c r="B22" s="15">
        <f t="shared" si="0"/>
        <v>727.0006712328767</v>
      </c>
      <c r="C22" s="15">
        <f t="shared" si="2"/>
        <v>452.9993287671233</v>
      </c>
      <c r="D22" s="15">
        <f t="shared" si="3"/>
        <v>0</v>
      </c>
      <c r="E22" s="15">
        <f t="shared" si="5"/>
        <v>0.21232876712329052</v>
      </c>
      <c r="F22" s="15">
        <f t="shared" ref="F22:I37" si="9">F21-M21</f>
        <v>0</v>
      </c>
      <c r="G22" s="15">
        <f t="shared" si="9"/>
        <v>21.499999999999989</v>
      </c>
      <c r="H22" s="15">
        <f t="shared" si="8"/>
        <v>0</v>
      </c>
      <c r="I22" s="15">
        <f t="shared" si="8"/>
        <v>111.28700000000001</v>
      </c>
      <c r="J22" s="15">
        <f t="shared" si="8"/>
        <v>320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95</v>
      </c>
      <c r="Q22" s="15">
        <v>0</v>
      </c>
      <c r="R22" s="15" t="s">
        <v>53</v>
      </c>
      <c r="S22" s="15"/>
      <c r="T22" s="15">
        <v>96</v>
      </c>
      <c r="U22" s="15">
        <v>0</v>
      </c>
      <c r="V22" s="15">
        <f t="shared" si="4"/>
        <v>95</v>
      </c>
      <c r="W22" t="s">
        <v>72</v>
      </c>
      <c r="X22">
        <v>96</v>
      </c>
      <c r="Y22">
        <v>96</v>
      </c>
      <c r="AG22" s="5" t="s">
        <v>71</v>
      </c>
      <c r="AH22" t="s">
        <v>78</v>
      </c>
    </row>
    <row r="23" spans="1:35" x14ac:dyDescent="0.3">
      <c r="A23">
        <v>20</v>
      </c>
      <c r="B23" s="15">
        <f t="shared" si="0"/>
        <v>822.0006712328767</v>
      </c>
      <c r="C23" s="15">
        <f t="shared" si="2"/>
        <v>357.9993287671233</v>
      </c>
      <c r="D23" s="15">
        <f t="shared" si="3"/>
        <v>0</v>
      </c>
      <c r="E23" s="15">
        <f t="shared" si="5"/>
        <v>0.21232876712329052</v>
      </c>
      <c r="F23" s="15">
        <f t="shared" si="9"/>
        <v>0</v>
      </c>
      <c r="G23" s="15">
        <f t="shared" si="9"/>
        <v>21.499999999999989</v>
      </c>
      <c r="H23" s="15">
        <f t="shared" si="8"/>
        <v>0</v>
      </c>
      <c r="I23" s="15">
        <f t="shared" si="8"/>
        <v>16.287000000000006</v>
      </c>
      <c r="J23" s="15">
        <f t="shared" si="8"/>
        <v>320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16.286999999999999</v>
      </c>
      <c r="Q23" s="15">
        <f>95-16.287</f>
        <v>78.712999999999994</v>
      </c>
      <c r="R23" s="15" t="s">
        <v>53</v>
      </c>
      <c r="S23" s="15"/>
      <c r="T23" s="15">
        <v>96</v>
      </c>
      <c r="U23" s="15">
        <v>0</v>
      </c>
      <c r="V23" s="15">
        <f t="shared" si="4"/>
        <v>95</v>
      </c>
      <c r="W23" t="s">
        <v>72</v>
      </c>
      <c r="X23">
        <v>96</v>
      </c>
      <c r="Y23">
        <v>96</v>
      </c>
      <c r="AG23" s="5" t="s">
        <v>71</v>
      </c>
      <c r="AH23" t="s">
        <v>58</v>
      </c>
    </row>
    <row r="24" spans="1:35" x14ac:dyDescent="0.3">
      <c r="A24">
        <v>21</v>
      </c>
      <c r="B24" s="15">
        <f t="shared" si="0"/>
        <v>917.0006712328767</v>
      </c>
      <c r="C24" s="15">
        <f t="shared" si="2"/>
        <v>262.9993287671233</v>
      </c>
      <c r="D24" s="15">
        <f t="shared" si="3"/>
        <v>0</v>
      </c>
      <c r="E24" s="15">
        <f t="shared" si="5"/>
        <v>0.21232876712329052</v>
      </c>
      <c r="F24" s="15">
        <f t="shared" si="9"/>
        <v>0</v>
      </c>
      <c r="G24" s="15">
        <f t="shared" si="9"/>
        <v>21.499999999999989</v>
      </c>
      <c r="H24" s="15">
        <f t="shared" si="9"/>
        <v>0</v>
      </c>
      <c r="I24" s="15">
        <f>I23-P23</f>
        <v>0</v>
      </c>
      <c r="J24" s="15">
        <f t="shared" ref="J24:J43" si="10">J23-Q23</f>
        <v>241.28700000000001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95</v>
      </c>
      <c r="R24" s="15" t="s">
        <v>53</v>
      </c>
      <c r="S24" s="15"/>
      <c r="T24" s="15">
        <v>8</v>
      </c>
      <c r="U24" s="15">
        <v>0</v>
      </c>
      <c r="V24" s="15">
        <f t="shared" si="4"/>
        <v>95</v>
      </c>
      <c r="W24" t="s">
        <v>72</v>
      </c>
      <c r="X24">
        <v>8</v>
      </c>
      <c r="Y24">
        <v>96</v>
      </c>
      <c r="AG24" s="5" t="s">
        <v>71</v>
      </c>
      <c r="AH24" t="s">
        <v>58</v>
      </c>
      <c r="AI24" t="s">
        <v>79</v>
      </c>
    </row>
    <row r="25" spans="1:35" s="6" customFormat="1" x14ac:dyDescent="0.3">
      <c r="A25" s="6">
        <v>22</v>
      </c>
      <c r="B25" s="16">
        <f t="shared" si="0"/>
        <v>312.0006712328767</v>
      </c>
      <c r="C25" s="16">
        <f>SUM(D25:J25)</f>
        <v>867.9993287671233</v>
      </c>
      <c r="D25" s="16">
        <f>D24-K24</f>
        <v>0</v>
      </c>
      <c r="E25" s="16">
        <f t="shared" si="5"/>
        <v>0.21232876712329052</v>
      </c>
      <c r="F25" s="16">
        <f>F24-M24+150</f>
        <v>150</v>
      </c>
      <c r="G25" s="16">
        <f t="shared" si="9"/>
        <v>21.499999999999989</v>
      </c>
      <c r="H25" s="16">
        <f t="shared" si="9"/>
        <v>0</v>
      </c>
      <c r="I25" s="16">
        <f>I24-P24+550</f>
        <v>550</v>
      </c>
      <c r="J25" s="16">
        <f>J24-Q24</f>
        <v>146.28700000000001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95</v>
      </c>
      <c r="R25" s="16" t="s">
        <v>60</v>
      </c>
      <c r="S25" s="16"/>
      <c r="T25" s="16">
        <v>87</v>
      </c>
      <c r="U25" s="16">
        <v>0</v>
      </c>
      <c r="V25" s="16">
        <f t="shared" si="4"/>
        <v>95</v>
      </c>
      <c r="W25" s="6" t="s">
        <v>72</v>
      </c>
      <c r="X25" s="6">
        <v>87</v>
      </c>
      <c r="Y25" s="6">
        <v>87</v>
      </c>
      <c r="AG25" s="13" t="s">
        <v>146</v>
      </c>
      <c r="AH25" s="6" t="s">
        <v>63</v>
      </c>
      <c r="AI25" s="6" t="s">
        <v>81</v>
      </c>
    </row>
    <row r="26" spans="1:35" x14ac:dyDescent="0.3">
      <c r="A26">
        <v>23</v>
      </c>
      <c r="B26" s="15">
        <f t="shared" si="0"/>
        <v>407.0006712328767</v>
      </c>
      <c r="C26" s="15">
        <f t="shared" si="2"/>
        <v>772.9993287671233</v>
      </c>
      <c r="D26" s="15">
        <f>D25-K25</f>
        <v>0</v>
      </c>
      <c r="E26" s="15">
        <f t="shared" si="5"/>
        <v>0.21232876712329052</v>
      </c>
      <c r="F26" s="15">
        <f>F25-M25</f>
        <v>150</v>
      </c>
      <c r="G26" s="15">
        <f t="shared" si="9"/>
        <v>21.499999999999989</v>
      </c>
      <c r="H26" s="15">
        <f t="shared" si="9"/>
        <v>0</v>
      </c>
      <c r="I26" s="15">
        <f>I25-P25</f>
        <v>550</v>
      </c>
      <c r="J26" s="15">
        <f>J25-Q25</f>
        <v>51.287000000000006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f>95-51.287</f>
        <v>43.713000000000001</v>
      </c>
      <c r="Q26" s="15">
        <v>51.286999999999999</v>
      </c>
      <c r="R26" s="15" t="s">
        <v>60</v>
      </c>
      <c r="S26" s="15"/>
      <c r="T26" s="15">
        <v>87</v>
      </c>
      <c r="U26" s="15">
        <v>0</v>
      </c>
      <c r="V26" s="15">
        <f t="shared" si="4"/>
        <v>95</v>
      </c>
      <c r="W26" t="s">
        <v>72</v>
      </c>
      <c r="X26">
        <v>87</v>
      </c>
      <c r="Y26">
        <v>87</v>
      </c>
      <c r="AH26" t="s">
        <v>63</v>
      </c>
      <c r="AI26" t="s">
        <v>82</v>
      </c>
    </row>
    <row r="27" spans="1:35" x14ac:dyDescent="0.3">
      <c r="A27">
        <v>24</v>
      </c>
      <c r="B27" s="15">
        <f t="shared" si="0"/>
        <v>502.0006712328767</v>
      </c>
      <c r="C27" s="15">
        <f t="shared" si="2"/>
        <v>677.9993287671233</v>
      </c>
      <c r="D27" s="15">
        <f>D26-K26</f>
        <v>0</v>
      </c>
      <c r="E27" s="15">
        <f t="shared" si="5"/>
        <v>0.21232876712329052</v>
      </c>
      <c r="F27" s="15">
        <f t="shared" si="9"/>
        <v>150</v>
      </c>
      <c r="G27" s="15">
        <f t="shared" si="9"/>
        <v>21.499999999999989</v>
      </c>
      <c r="H27" s="15">
        <f t="shared" si="9"/>
        <v>0</v>
      </c>
      <c r="I27" s="15">
        <f>I26-P26</f>
        <v>506.28699999999998</v>
      </c>
      <c r="J27" s="15">
        <f>J26-Q26</f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95</v>
      </c>
      <c r="Q27" s="15">
        <v>0</v>
      </c>
      <c r="R27" s="15" t="s">
        <v>60</v>
      </c>
      <c r="S27" s="15"/>
      <c r="T27" s="15">
        <v>87</v>
      </c>
      <c r="U27" s="15">
        <v>0</v>
      </c>
      <c r="V27" s="15">
        <f t="shared" si="4"/>
        <v>95</v>
      </c>
      <c r="W27" t="s">
        <v>72</v>
      </c>
      <c r="X27">
        <v>87</v>
      </c>
      <c r="Y27">
        <v>87</v>
      </c>
      <c r="AH27" t="s">
        <v>71</v>
      </c>
      <c r="AI27" t="s">
        <v>83</v>
      </c>
    </row>
    <row r="28" spans="1:35" x14ac:dyDescent="0.3">
      <c r="A28">
        <v>25</v>
      </c>
      <c r="B28" s="15">
        <f t="shared" si="0"/>
        <v>597.0006712328767</v>
      </c>
      <c r="C28" s="15">
        <f t="shared" si="2"/>
        <v>582.9993287671233</v>
      </c>
      <c r="D28" s="15">
        <f t="shared" si="3"/>
        <v>0</v>
      </c>
      <c r="E28" s="15">
        <f t="shared" si="5"/>
        <v>0.21232876712329052</v>
      </c>
      <c r="F28" s="15">
        <f t="shared" si="9"/>
        <v>150</v>
      </c>
      <c r="G28" s="15">
        <f t="shared" si="9"/>
        <v>21.499999999999989</v>
      </c>
      <c r="H28" s="15">
        <f t="shared" si="9"/>
        <v>0</v>
      </c>
      <c r="I28" s="15">
        <f>I27-P27</f>
        <v>411.28699999999998</v>
      </c>
      <c r="J28" s="15">
        <f>J27-Q27</f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95</v>
      </c>
      <c r="Q28" s="15">
        <v>0</v>
      </c>
      <c r="R28" s="15" t="s">
        <v>60</v>
      </c>
      <c r="S28" s="15"/>
      <c r="T28" s="15">
        <v>87</v>
      </c>
      <c r="U28" s="15">
        <v>0</v>
      </c>
      <c r="V28" s="15">
        <f t="shared" si="4"/>
        <v>95</v>
      </c>
      <c r="W28" t="s">
        <v>72</v>
      </c>
      <c r="X28">
        <v>87</v>
      </c>
      <c r="Y28">
        <v>87</v>
      </c>
      <c r="AH28" t="s">
        <v>71</v>
      </c>
      <c r="AI28" t="s">
        <v>58</v>
      </c>
    </row>
    <row r="29" spans="1:35" x14ac:dyDescent="0.3">
      <c r="A29">
        <v>26</v>
      </c>
      <c r="B29" s="15">
        <f t="shared" si="0"/>
        <v>692.0006712328767</v>
      </c>
      <c r="C29" s="15">
        <f t="shared" si="2"/>
        <v>487.9993287671233</v>
      </c>
      <c r="D29" s="15">
        <f>D28-K28</f>
        <v>0</v>
      </c>
      <c r="E29" s="15">
        <f t="shared" si="5"/>
        <v>0.21232876712329052</v>
      </c>
      <c r="F29" s="15">
        <f t="shared" si="9"/>
        <v>150</v>
      </c>
      <c r="G29" s="15">
        <f t="shared" si="9"/>
        <v>21.499999999999989</v>
      </c>
      <c r="H29" s="15">
        <f t="shared" si="9"/>
        <v>0</v>
      </c>
      <c r="I29" s="15">
        <f>I28-P28</f>
        <v>316.28699999999998</v>
      </c>
      <c r="J29" s="15">
        <f t="shared" si="10"/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95</v>
      </c>
      <c r="Q29" s="15">
        <v>0</v>
      </c>
      <c r="R29" s="15" t="s">
        <v>60</v>
      </c>
      <c r="S29" s="15"/>
      <c r="T29" s="15">
        <v>12</v>
      </c>
      <c r="U29" s="15">
        <v>0</v>
      </c>
      <c r="V29" s="15">
        <f t="shared" si="4"/>
        <v>95</v>
      </c>
      <c r="W29" t="s">
        <v>72</v>
      </c>
      <c r="X29">
        <v>12</v>
      </c>
      <c r="Y29">
        <v>87</v>
      </c>
      <c r="AH29" t="s">
        <v>71</v>
      </c>
      <c r="AI29" t="s">
        <v>58</v>
      </c>
    </row>
    <row r="30" spans="1:35" s="6" customFormat="1" x14ac:dyDescent="0.3">
      <c r="A30" s="6">
        <v>27</v>
      </c>
      <c r="B30" s="16">
        <f t="shared" si="0"/>
        <v>227.00067123287681</v>
      </c>
      <c r="C30" s="16">
        <f t="shared" si="2"/>
        <v>952.99932876712319</v>
      </c>
      <c r="D30" s="16">
        <f>D29-K29+360</f>
        <v>360</v>
      </c>
      <c r="E30" s="16">
        <f>E29-L30</f>
        <v>0.21232876712329052</v>
      </c>
      <c r="F30" s="16">
        <f t="shared" si="9"/>
        <v>150</v>
      </c>
      <c r="G30" s="16">
        <f>G29-N29+200</f>
        <v>221.5</v>
      </c>
      <c r="H30" s="16">
        <f>H29-O29</f>
        <v>0</v>
      </c>
      <c r="I30" s="16">
        <f>I29-P29</f>
        <v>221.28699999999998</v>
      </c>
      <c r="J30" s="16">
        <f t="shared" si="10"/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95</v>
      </c>
      <c r="Q30" s="16">
        <v>0</v>
      </c>
      <c r="R30" s="16" t="s">
        <v>54</v>
      </c>
      <c r="S30" s="16"/>
      <c r="T30" s="16">
        <v>95</v>
      </c>
      <c r="U30" s="16">
        <v>0</v>
      </c>
      <c r="V30" s="16">
        <f t="shared" si="4"/>
        <v>95</v>
      </c>
      <c r="W30" s="6" t="s">
        <v>72</v>
      </c>
      <c r="X30" s="6">
        <v>95</v>
      </c>
      <c r="Y30" s="6">
        <v>95</v>
      </c>
      <c r="AH30" s="6" t="s">
        <v>84</v>
      </c>
      <c r="AI30" s="6" t="s">
        <v>58</v>
      </c>
    </row>
    <row r="31" spans="1:35" x14ac:dyDescent="0.3">
      <c r="A31">
        <v>28</v>
      </c>
      <c r="B31" s="15">
        <f t="shared" si="0"/>
        <v>322.00067123287681</v>
      </c>
      <c r="C31" s="15">
        <f t="shared" si="2"/>
        <v>857.99932876712319</v>
      </c>
      <c r="D31" s="15">
        <f>D30-K30</f>
        <v>360</v>
      </c>
      <c r="E31" s="15">
        <f t="shared" si="5"/>
        <v>0.21232876712329052</v>
      </c>
      <c r="F31" s="15">
        <f t="shared" si="9"/>
        <v>150</v>
      </c>
      <c r="G31" s="15">
        <f>G30-N30</f>
        <v>221.5</v>
      </c>
      <c r="H31" s="15">
        <f t="shared" si="9"/>
        <v>0</v>
      </c>
      <c r="I31" s="15">
        <f t="shared" si="9"/>
        <v>126.28699999999998</v>
      </c>
      <c r="J31" s="15">
        <f t="shared" si="10"/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95</v>
      </c>
      <c r="Q31" s="15">
        <v>0</v>
      </c>
      <c r="R31" s="15" t="s">
        <v>54</v>
      </c>
      <c r="S31" s="15"/>
      <c r="T31" s="15">
        <v>55</v>
      </c>
      <c r="U31" s="15">
        <v>0</v>
      </c>
      <c r="V31" s="15">
        <f t="shared" si="4"/>
        <v>95</v>
      </c>
      <c r="W31" t="s">
        <v>72</v>
      </c>
      <c r="X31">
        <v>55</v>
      </c>
      <c r="Y31">
        <v>95</v>
      </c>
      <c r="AI31" t="s">
        <v>63</v>
      </c>
    </row>
    <row r="32" spans="1:35" x14ac:dyDescent="0.3">
      <c r="A32">
        <v>29</v>
      </c>
      <c r="B32" s="15">
        <f t="shared" si="0"/>
        <v>417.00067123287681</v>
      </c>
      <c r="C32" s="15">
        <f t="shared" si="2"/>
        <v>762.99932876712319</v>
      </c>
      <c r="D32" s="15">
        <f>D31-K31</f>
        <v>360</v>
      </c>
      <c r="E32" s="15">
        <f t="shared" si="5"/>
        <v>0.21232876712329052</v>
      </c>
      <c r="F32" s="15">
        <f t="shared" si="9"/>
        <v>150</v>
      </c>
      <c r="G32" s="15">
        <f>G31-N31</f>
        <v>221.5</v>
      </c>
      <c r="H32" s="15">
        <f t="shared" si="9"/>
        <v>0</v>
      </c>
      <c r="I32" s="15">
        <f t="shared" si="9"/>
        <v>31.286999999999978</v>
      </c>
      <c r="J32" s="15">
        <f t="shared" si="10"/>
        <v>0</v>
      </c>
      <c r="K32" s="15">
        <f>(95-31.287)*0.73</f>
        <v>46.510489999999997</v>
      </c>
      <c r="L32" s="15">
        <v>0</v>
      </c>
      <c r="M32" s="15">
        <v>0</v>
      </c>
      <c r="N32" s="15">
        <f>(95-31.287)*0.27</f>
        <v>17.20251</v>
      </c>
      <c r="O32" s="15">
        <v>0</v>
      </c>
      <c r="P32" s="15">
        <v>31.286999999999999</v>
      </c>
      <c r="Q32" s="15">
        <v>0</v>
      </c>
      <c r="R32" s="15" t="s">
        <v>75</v>
      </c>
      <c r="S32" s="15"/>
      <c r="T32" s="15">
        <v>95</v>
      </c>
      <c r="U32" s="15">
        <v>0</v>
      </c>
      <c r="V32" s="15">
        <f t="shared" si="4"/>
        <v>95</v>
      </c>
      <c r="W32" t="s">
        <v>72</v>
      </c>
      <c r="X32">
        <v>95</v>
      </c>
      <c r="Y32">
        <v>95</v>
      </c>
      <c r="AI32" t="s">
        <v>63</v>
      </c>
    </row>
    <row r="33" spans="1:35" x14ac:dyDescent="0.3">
      <c r="A33">
        <v>30</v>
      </c>
      <c r="B33" s="15">
        <f t="shared" si="0"/>
        <v>512.0006712328767</v>
      </c>
      <c r="C33" s="15">
        <f t="shared" si="2"/>
        <v>667.9993287671233</v>
      </c>
      <c r="D33" s="15">
        <f>D32-K32</f>
        <v>313.48951</v>
      </c>
      <c r="E33" s="15">
        <f t="shared" si="5"/>
        <v>0.21232876712329052</v>
      </c>
      <c r="F33" s="15">
        <f t="shared" si="9"/>
        <v>150</v>
      </c>
      <c r="G33" s="15">
        <f t="shared" si="9"/>
        <v>204.29749000000001</v>
      </c>
      <c r="H33" s="15">
        <f>H32-O32</f>
        <v>0</v>
      </c>
      <c r="I33" s="15">
        <f t="shared" si="9"/>
        <v>0</v>
      </c>
      <c r="J33" s="15">
        <f t="shared" si="10"/>
        <v>0</v>
      </c>
      <c r="K33" s="15">
        <f>0.73*95</f>
        <v>69.349999999999994</v>
      </c>
      <c r="L33" s="15">
        <v>0</v>
      </c>
      <c r="M33" s="15">
        <v>0</v>
      </c>
      <c r="N33" s="15">
        <f>0.27*95</f>
        <v>25.650000000000002</v>
      </c>
      <c r="O33" s="15">
        <v>0</v>
      </c>
      <c r="P33" s="15">
        <v>0</v>
      </c>
      <c r="Q33" s="15">
        <v>0</v>
      </c>
      <c r="R33" s="15" t="s">
        <v>75</v>
      </c>
      <c r="S33" s="15"/>
      <c r="T33" s="15">
        <v>95</v>
      </c>
      <c r="U33" s="15">
        <v>0</v>
      </c>
      <c r="V33" s="15">
        <f t="shared" si="4"/>
        <v>95</v>
      </c>
      <c r="W33" t="s">
        <v>72</v>
      </c>
      <c r="X33">
        <v>95</v>
      </c>
      <c r="Y33">
        <v>95</v>
      </c>
      <c r="AI33" t="s">
        <v>71</v>
      </c>
    </row>
    <row r="34" spans="1:35" x14ac:dyDescent="0.3">
      <c r="A34">
        <v>31</v>
      </c>
      <c r="B34" s="15">
        <f t="shared" si="0"/>
        <v>607.0006712328767</v>
      </c>
      <c r="C34" s="15">
        <f t="shared" si="2"/>
        <v>572.9993287671233</v>
      </c>
      <c r="D34" s="15">
        <f t="shared" si="3"/>
        <v>244.13951</v>
      </c>
      <c r="E34" s="15">
        <f t="shared" si="5"/>
        <v>0.21232876712329052</v>
      </c>
      <c r="F34" s="15">
        <f t="shared" si="9"/>
        <v>150</v>
      </c>
      <c r="G34" s="15">
        <f t="shared" si="9"/>
        <v>178.64749</v>
      </c>
      <c r="H34" s="15">
        <f t="shared" si="9"/>
        <v>0</v>
      </c>
      <c r="I34" s="15">
        <f t="shared" si="9"/>
        <v>0</v>
      </c>
      <c r="J34" s="15">
        <f t="shared" si="10"/>
        <v>0</v>
      </c>
      <c r="K34" s="15">
        <f t="shared" ref="K34:K35" si="11">0.73*95</f>
        <v>69.349999999999994</v>
      </c>
      <c r="L34" s="15">
        <v>0</v>
      </c>
      <c r="M34" s="15">
        <v>0</v>
      </c>
      <c r="N34" s="15">
        <f t="shared" ref="N34:N35" si="12">0.27*95</f>
        <v>25.650000000000002</v>
      </c>
      <c r="O34" s="15">
        <v>0</v>
      </c>
      <c r="P34" s="15">
        <v>0</v>
      </c>
      <c r="Q34" s="15">
        <v>0</v>
      </c>
      <c r="R34" s="15"/>
      <c r="S34" s="15"/>
      <c r="T34" s="15"/>
      <c r="U34" s="15"/>
      <c r="V34" s="15">
        <f t="shared" si="4"/>
        <v>95</v>
      </c>
      <c r="AI34" t="s">
        <v>71</v>
      </c>
    </row>
    <row r="35" spans="1:35" x14ac:dyDescent="0.3">
      <c r="A35">
        <v>32</v>
      </c>
      <c r="B35" s="15">
        <f t="shared" si="0"/>
        <v>702.0006712328767</v>
      </c>
      <c r="C35" s="15">
        <f t="shared" si="2"/>
        <v>477.9993287671233</v>
      </c>
      <c r="D35" s="15">
        <f t="shared" si="3"/>
        <v>174.78951000000001</v>
      </c>
      <c r="E35" s="15">
        <f t="shared" si="5"/>
        <v>0.21232876712329052</v>
      </c>
      <c r="F35" s="15">
        <f t="shared" si="9"/>
        <v>150</v>
      </c>
      <c r="G35" s="15">
        <f t="shared" si="9"/>
        <v>152.99749</v>
      </c>
      <c r="H35" s="15">
        <f>H34-O34</f>
        <v>0</v>
      </c>
      <c r="I35" s="15">
        <f>I34-P34</f>
        <v>0</v>
      </c>
      <c r="J35" s="15">
        <f>J34-Q34</f>
        <v>0</v>
      </c>
      <c r="K35" s="15">
        <f t="shared" si="11"/>
        <v>69.349999999999994</v>
      </c>
      <c r="L35" s="15">
        <v>0</v>
      </c>
      <c r="M35" s="15">
        <v>0</v>
      </c>
      <c r="N35" s="15">
        <f t="shared" si="12"/>
        <v>25.650000000000002</v>
      </c>
      <c r="O35" s="15">
        <v>0</v>
      </c>
      <c r="P35" s="15">
        <v>0</v>
      </c>
      <c r="Q35" s="15">
        <v>0</v>
      </c>
      <c r="R35" s="15"/>
      <c r="S35" s="15"/>
      <c r="T35" s="15"/>
      <c r="U35" s="15"/>
      <c r="V35" s="15">
        <f t="shared" si="4"/>
        <v>95</v>
      </c>
      <c r="AI35" t="s">
        <v>71</v>
      </c>
    </row>
    <row r="36" spans="1:35" s="6" customFormat="1" x14ac:dyDescent="0.3">
      <c r="A36" s="6">
        <v>33</v>
      </c>
      <c r="B36" s="16">
        <f t="shared" si="0"/>
        <v>267.0006712328767</v>
      </c>
      <c r="C36" s="16">
        <f t="shared" si="2"/>
        <v>912.9993287671233</v>
      </c>
      <c r="D36" s="16">
        <f t="shared" si="3"/>
        <v>105.43951000000001</v>
      </c>
      <c r="E36" s="16">
        <f t="shared" si="5"/>
        <v>0.21232876712329052</v>
      </c>
      <c r="F36" s="16">
        <f t="shared" si="9"/>
        <v>150</v>
      </c>
      <c r="G36" s="16">
        <f t="shared" si="9"/>
        <v>127.34748999999999</v>
      </c>
      <c r="H36" s="16">
        <f>H35-O35+150</f>
        <v>150</v>
      </c>
      <c r="I36" s="16">
        <f>I35-P35+100</f>
        <v>100</v>
      </c>
      <c r="J36" s="16">
        <f>J35-Q35+280</f>
        <v>280</v>
      </c>
      <c r="K36" s="16">
        <v>69.349999999999994</v>
      </c>
      <c r="L36" s="16">
        <v>0</v>
      </c>
      <c r="M36" s="16">
        <v>0</v>
      </c>
      <c r="N36" s="16">
        <v>25.65</v>
      </c>
      <c r="O36" s="16">
        <v>0</v>
      </c>
      <c r="P36" s="16">
        <v>0</v>
      </c>
      <c r="Q36" s="16">
        <v>0</v>
      </c>
      <c r="R36" s="16"/>
      <c r="S36" s="16"/>
      <c r="T36" s="16"/>
      <c r="U36" s="16"/>
      <c r="V36" s="16">
        <f t="shared" si="4"/>
        <v>95</v>
      </c>
      <c r="AI36" s="6" t="s">
        <v>126</v>
      </c>
    </row>
    <row r="37" spans="1:35" x14ac:dyDescent="0.3">
      <c r="A37">
        <v>34</v>
      </c>
      <c r="B37" s="15">
        <f t="shared" si="0"/>
        <v>362.0006712328767</v>
      </c>
      <c r="C37" s="15">
        <f t="shared" si="2"/>
        <v>817.9993287671233</v>
      </c>
      <c r="D37" s="15">
        <f t="shared" si="3"/>
        <v>36.089510000000018</v>
      </c>
      <c r="E37" s="15">
        <f t="shared" si="5"/>
        <v>0.21232876712329052</v>
      </c>
      <c r="F37" s="15">
        <f t="shared" si="9"/>
        <v>150</v>
      </c>
      <c r="G37" s="15">
        <f t="shared" si="9"/>
        <v>101.69748999999999</v>
      </c>
      <c r="H37" s="15">
        <f t="shared" si="9"/>
        <v>150</v>
      </c>
      <c r="I37" s="15">
        <f t="shared" si="9"/>
        <v>100</v>
      </c>
      <c r="J37" s="15">
        <f t="shared" si="10"/>
        <v>280</v>
      </c>
      <c r="K37" s="15">
        <v>36.08</v>
      </c>
      <c r="L37" s="15">
        <v>0</v>
      </c>
      <c r="M37" s="15">
        <v>0</v>
      </c>
      <c r="N37" s="15">
        <f>(26.08/73)*27</f>
        <v>9.6460273972602746</v>
      </c>
      <c r="O37" s="15">
        <v>0</v>
      </c>
      <c r="P37" s="15">
        <f>95-45.726</f>
        <v>49.274000000000001</v>
      </c>
      <c r="Q37" s="15">
        <v>0</v>
      </c>
      <c r="R37" s="15"/>
      <c r="S37" s="15"/>
      <c r="T37" s="15"/>
      <c r="U37" s="15"/>
      <c r="V37" s="15">
        <f>SUM(K37:Q37)</f>
        <v>95.000027397260283</v>
      </c>
    </row>
    <row r="38" spans="1:35" x14ac:dyDescent="0.3">
      <c r="A38">
        <v>35</v>
      </c>
      <c r="B38" s="15">
        <f t="shared" si="0"/>
        <v>457.00069863013698</v>
      </c>
      <c r="C38" s="15">
        <f t="shared" si="2"/>
        <v>722.99930136986302</v>
      </c>
      <c r="D38" s="15">
        <f t="shared" si="3"/>
        <v>9.5100000000201135E-3</v>
      </c>
      <c r="E38" s="15">
        <f t="shared" si="5"/>
        <v>0.21232876712329052</v>
      </c>
      <c r="F38" s="15">
        <f t="shared" ref="F38:H43" si="13">F37-M37</f>
        <v>150</v>
      </c>
      <c r="G38" s="15">
        <f t="shared" si="13"/>
        <v>92.051462602739718</v>
      </c>
      <c r="H38" s="15">
        <f>H37-O37</f>
        <v>150</v>
      </c>
      <c r="I38" s="15">
        <f t="shared" ref="I38:I44" si="14">I37-P37</f>
        <v>50.725999999999999</v>
      </c>
      <c r="J38" s="15">
        <f>J37-Q37</f>
        <v>280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50.725999999999999</v>
      </c>
      <c r="Q38" s="15">
        <f>95-50.726</f>
        <v>44.274000000000001</v>
      </c>
      <c r="R38" s="15"/>
      <c r="S38" s="15"/>
      <c r="T38" s="15"/>
      <c r="U38" s="15"/>
      <c r="V38" s="15">
        <f t="shared" si="4"/>
        <v>95</v>
      </c>
    </row>
    <row r="39" spans="1:35" x14ac:dyDescent="0.3">
      <c r="A39">
        <v>36</v>
      </c>
      <c r="B39" s="15">
        <f t="shared" si="0"/>
        <v>552.00069863013698</v>
      </c>
      <c r="C39" s="15">
        <f t="shared" si="2"/>
        <v>627.99930136986302</v>
      </c>
      <c r="D39" s="15">
        <f t="shared" si="3"/>
        <v>9.5100000000201135E-3</v>
      </c>
      <c r="E39" s="15">
        <f t="shared" si="5"/>
        <v>0.21232876712329052</v>
      </c>
      <c r="F39" s="15">
        <f t="shared" si="13"/>
        <v>150</v>
      </c>
      <c r="G39" s="15">
        <f t="shared" si="13"/>
        <v>92.051462602739718</v>
      </c>
      <c r="H39" s="15">
        <f t="shared" si="13"/>
        <v>150</v>
      </c>
      <c r="I39" s="15">
        <f t="shared" si="14"/>
        <v>0</v>
      </c>
      <c r="J39" s="15">
        <f t="shared" si="10"/>
        <v>235.726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95</v>
      </c>
      <c r="R39" s="15"/>
      <c r="S39" s="15"/>
      <c r="T39" s="15"/>
      <c r="U39" s="15"/>
      <c r="V39" s="15">
        <f t="shared" si="4"/>
        <v>95</v>
      </c>
    </row>
    <row r="40" spans="1:35" x14ac:dyDescent="0.3">
      <c r="A40">
        <v>37</v>
      </c>
      <c r="B40" s="15">
        <f t="shared" si="0"/>
        <v>647.00069863013698</v>
      </c>
      <c r="C40" s="15">
        <f t="shared" si="2"/>
        <v>532.99930136986302</v>
      </c>
      <c r="D40" s="15">
        <f t="shared" si="3"/>
        <v>9.5100000000201135E-3</v>
      </c>
      <c r="E40" s="15">
        <f t="shared" si="5"/>
        <v>0.21232876712329052</v>
      </c>
      <c r="F40" s="15">
        <f t="shared" si="13"/>
        <v>150</v>
      </c>
      <c r="G40" s="15">
        <f t="shared" si="13"/>
        <v>92.051462602739718</v>
      </c>
      <c r="H40" s="15">
        <f t="shared" si="13"/>
        <v>150</v>
      </c>
      <c r="I40" s="15">
        <f t="shared" si="14"/>
        <v>0</v>
      </c>
      <c r="J40" s="15">
        <f t="shared" si="10"/>
        <v>140.726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95</v>
      </c>
      <c r="R40" s="15"/>
      <c r="S40" s="15"/>
      <c r="T40" s="15"/>
      <c r="U40" s="15"/>
      <c r="V40" s="15">
        <f t="shared" si="4"/>
        <v>95</v>
      </c>
    </row>
    <row r="41" spans="1:35" x14ac:dyDescent="0.3">
      <c r="A41">
        <v>38</v>
      </c>
      <c r="B41" s="15">
        <f t="shared" si="0"/>
        <v>742.00069863013698</v>
      </c>
      <c r="C41" s="15">
        <f t="shared" si="2"/>
        <v>437.99930136986302</v>
      </c>
      <c r="D41" s="15">
        <f t="shared" si="3"/>
        <v>9.5100000000201135E-3</v>
      </c>
      <c r="E41" s="15">
        <f t="shared" si="5"/>
        <v>0.21232876712329052</v>
      </c>
      <c r="F41" s="15">
        <f t="shared" si="13"/>
        <v>150</v>
      </c>
      <c r="G41" s="15">
        <f t="shared" si="13"/>
        <v>92.051462602739718</v>
      </c>
      <c r="H41" s="15">
        <f t="shared" si="13"/>
        <v>150</v>
      </c>
      <c r="I41" s="15">
        <f t="shared" si="14"/>
        <v>0</v>
      </c>
      <c r="J41" s="15">
        <f t="shared" si="10"/>
        <v>45.725999999999999</v>
      </c>
      <c r="K41" s="15">
        <v>0</v>
      </c>
      <c r="L41" s="15">
        <v>0</v>
      </c>
      <c r="M41" s="15">
        <f>(95-45.726)*0.6</f>
        <v>29.564399999999999</v>
      </c>
      <c r="N41" s="15">
        <v>0</v>
      </c>
      <c r="O41" s="15">
        <f>(95-45.726)*0.4</f>
        <v>19.709600000000002</v>
      </c>
      <c r="P41" s="15">
        <v>0</v>
      </c>
      <c r="Q41" s="15">
        <v>45.725999999999999</v>
      </c>
      <c r="R41" s="15"/>
      <c r="S41" s="15"/>
      <c r="T41" s="15"/>
      <c r="U41" s="15"/>
      <c r="V41" s="15">
        <f t="shared" si="4"/>
        <v>95</v>
      </c>
    </row>
    <row r="42" spans="1:35" x14ac:dyDescent="0.3">
      <c r="A42">
        <v>39</v>
      </c>
      <c r="B42" s="15">
        <f t="shared" si="0"/>
        <v>837.00069863013698</v>
      </c>
      <c r="C42" s="15">
        <f t="shared" si="2"/>
        <v>342.99930136986302</v>
      </c>
      <c r="D42" s="15">
        <f t="shared" si="3"/>
        <v>9.5100000000201135E-3</v>
      </c>
      <c r="E42" s="15">
        <f t="shared" si="5"/>
        <v>0.21232876712329052</v>
      </c>
      <c r="F42" s="15">
        <f t="shared" si="13"/>
        <v>120.43559999999999</v>
      </c>
      <c r="G42" s="15">
        <f t="shared" si="13"/>
        <v>92.051462602739718</v>
      </c>
      <c r="H42" s="15">
        <f t="shared" si="13"/>
        <v>130.29040000000001</v>
      </c>
      <c r="I42" s="15">
        <f t="shared" si="14"/>
        <v>0</v>
      </c>
      <c r="J42" s="15">
        <f t="shared" si="10"/>
        <v>0</v>
      </c>
      <c r="K42" s="15">
        <v>0</v>
      </c>
      <c r="L42" s="15">
        <v>0</v>
      </c>
      <c r="M42" s="15">
        <v>57.6</v>
      </c>
      <c r="N42" s="15">
        <v>0</v>
      </c>
      <c r="O42" s="15">
        <v>38.4</v>
      </c>
      <c r="P42" s="15">
        <v>0</v>
      </c>
      <c r="Q42" s="15">
        <v>0</v>
      </c>
      <c r="R42" s="15"/>
      <c r="S42" s="15"/>
      <c r="T42" s="15"/>
      <c r="U42" s="15"/>
      <c r="V42" s="15">
        <f t="shared" si="4"/>
        <v>96</v>
      </c>
    </row>
    <row r="43" spans="1:35" x14ac:dyDescent="0.3">
      <c r="A43">
        <v>40</v>
      </c>
      <c r="B43" s="15">
        <f t="shared" si="0"/>
        <v>933.00069863013698</v>
      </c>
      <c r="C43" s="15">
        <f t="shared" si="2"/>
        <v>246.99930136986302</v>
      </c>
      <c r="D43" s="15">
        <f t="shared" si="3"/>
        <v>9.5100000000201135E-3</v>
      </c>
      <c r="E43" s="15">
        <f t="shared" si="5"/>
        <v>0.21232876712329052</v>
      </c>
      <c r="F43" s="15">
        <f t="shared" si="13"/>
        <v>62.835599999999992</v>
      </c>
      <c r="G43" s="15">
        <f t="shared" si="13"/>
        <v>92.051462602739718</v>
      </c>
      <c r="H43" s="15">
        <f t="shared" si="13"/>
        <v>91.8904</v>
      </c>
      <c r="I43" s="15">
        <f t="shared" si="14"/>
        <v>0</v>
      </c>
      <c r="J43" s="15">
        <f t="shared" si="10"/>
        <v>0</v>
      </c>
      <c r="K43" s="15">
        <v>0</v>
      </c>
      <c r="L43" s="15">
        <v>0</v>
      </c>
      <c r="M43" s="15">
        <v>57.6</v>
      </c>
      <c r="N43" s="15">
        <v>0</v>
      </c>
      <c r="O43" s="15">
        <v>38.4</v>
      </c>
      <c r="P43" s="15">
        <v>0</v>
      </c>
      <c r="Q43" s="15">
        <v>0</v>
      </c>
      <c r="R43" s="15"/>
      <c r="S43" s="15"/>
      <c r="T43" s="15"/>
      <c r="U43" s="15"/>
      <c r="V43" s="15">
        <f t="shared" si="4"/>
        <v>96</v>
      </c>
    </row>
    <row r="44" spans="1:35" x14ac:dyDescent="0.3">
      <c r="A44">
        <v>41</v>
      </c>
      <c r="B44" s="15">
        <f t="shared" si="0"/>
        <v>1029.0006986301369</v>
      </c>
      <c r="C44" s="15">
        <f>SUM(D44:J44)</f>
        <v>150.99930136986302</v>
      </c>
      <c r="D44" s="15">
        <f>D43-K43</f>
        <v>9.5100000000201135E-3</v>
      </c>
      <c r="E44" s="15">
        <f>E43-L44</f>
        <v>0.21232876712329052</v>
      </c>
      <c r="F44" s="15">
        <f>F43-M43</f>
        <v>5.2355999999999909</v>
      </c>
      <c r="G44" s="15">
        <f>G43-N43</f>
        <v>92.051462602739718</v>
      </c>
      <c r="H44" s="15">
        <f>H43-O43</f>
        <v>53.490400000000001</v>
      </c>
      <c r="I44" s="15">
        <f t="shared" si="14"/>
        <v>0</v>
      </c>
      <c r="J44">
        <f>J43-Q43</f>
        <v>0</v>
      </c>
      <c r="Q44" t="s">
        <v>86</v>
      </c>
      <c r="V44" s="4">
        <f>AVERAGE(V4:V33)</f>
        <v>95.233355707762556</v>
      </c>
    </row>
    <row r="45" spans="1:35" x14ac:dyDescent="0.3">
      <c r="Q45" t="s">
        <v>88</v>
      </c>
      <c r="V45" s="4">
        <f>AVERAGE(V4:V43)</f>
        <v>95.225017465753425</v>
      </c>
    </row>
    <row r="46" spans="1:35" x14ac:dyDescent="0.3">
      <c r="I46">
        <f>21.5/2.7*69.3</f>
        <v>551.83333333333326</v>
      </c>
    </row>
    <row r="47" spans="1:35" x14ac:dyDescent="0.3">
      <c r="Q47" t="s">
        <v>89</v>
      </c>
      <c r="V47">
        <f>SUM(V4:V43)</f>
        <v>3809.0006986301369</v>
      </c>
    </row>
    <row r="48" spans="1:35" x14ac:dyDescent="0.3">
      <c r="Q48" t="s">
        <v>91</v>
      </c>
      <c r="V48">
        <f>C3</f>
        <v>1050</v>
      </c>
    </row>
    <row r="49" spans="17:31" x14ac:dyDescent="0.3">
      <c r="Q49" t="s">
        <v>92</v>
      </c>
      <c r="V49">
        <v>2910</v>
      </c>
    </row>
    <row r="50" spans="17:31" x14ac:dyDescent="0.3">
      <c r="Q50" t="s">
        <v>93</v>
      </c>
      <c r="V50">
        <f>C44</f>
        <v>150.99930136986302</v>
      </c>
      <c r="AE50">
        <f>V48+V49</f>
        <v>3960</v>
      </c>
    </row>
    <row r="51" spans="17:31" x14ac:dyDescent="0.3">
      <c r="AE51">
        <f>AE50-V47</f>
        <v>150.99930136986313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C2C9-B3D9-4D7B-8DBD-6529C849325E}">
  <dimension ref="A1:AN51"/>
  <sheetViews>
    <sheetView zoomScale="70" zoomScaleNormal="80" workbookViewId="0">
      <pane xSplit="1" ySplit="2" topLeftCell="I3" activePane="bottomRight" state="frozen"/>
      <selection pane="topRight" activeCell="AH11" sqref="AH11"/>
      <selection pane="bottomLeft" activeCell="AH11" sqref="AH11"/>
      <selection pane="bottomRight" activeCell="AH11" sqref="AH11"/>
    </sheetView>
  </sheetViews>
  <sheetFormatPr defaultRowHeight="14.4" x14ac:dyDescent="0.3"/>
  <cols>
    <col min="1" max="1" width="7.33203125" customWidth="1"/>
    <col min="2" max="2" width="8.33203125" customWidth="1"/>
    <col min="3" max="3" width="9.6640625" customWidth="1"/>
    <col min="4" max="4" width="14.33203125" bestFit="1" customWidth="1"/>
    <col min="5" max="5" width="12" bestFit="1" customWidth="1"/>
    <col min="6" max="7" width="12.109375" bestFit="1" customWidth="1"/>
    <col min="8" max="8" width="11.5546875" bestFit="1" customWidth="1"/>
    <col min="9" max="10" width="11.33203125" bestFit="1" customWidth="1"/>
    <col min="11" max="16" width="11.44140625" customWidth="1"/>
    <col min="17" max="17" width="12.33203125" customWidth="1"/>
    <col min="18" max="21" width="15.6640625" hidden="1" customWidth="1"/>
    <col min="22" max="22" width="12" customWidth="1"/>
    <col min="23" max="25" width="15.6640625" hidden="1" customWidth="1"/>
    <col min="26" max="26" width="8.6640625" hidden="1" customWidth="1"/>
    <col min="27" max="30" width="0" hidden="1" customWidth="1"/>
    <col min="31" max="31" width="15" bestFit="1" customWidth="1"/>
    <col min="32" max="32" width="21.6640625" bestFit="1" customWidth="1"/>
    <col min="33" max="33" width="27.33203125" customWidth="1"/>
    <col min="34" max="35" width="32.109375" customWidth="1"/>
    <col min="36" max="36" width="20" customWidth="1"/>
    <col min="38" max="38" width="10.88671875" customWidth="1"/>
    <col min="39" max="40" width="14.88671875" customWidth="1"/>
  </cols>
  <sheetData>
    <row r="1" spans="1:40" x14ac:dyDescent="0.3">
      <c r="B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40" ht="28.8" x14ac:dyDescent="0.3">
      <c r="A2" s="1" t="s">
        <v>16</v>
      </c>
      <c r="B2" s="7" t="s">
        <v>17</v>
      </c>
      <c r="C2" s="7" t="s">
        <v>109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  <c r="Z2" s="2" t="s">
        <v>41</v>
      </c>
      <c r="AA2" s="2" t="s">
        <v>42</v>
      </c>
      <c r="AB2" s="2" t="s">
        <v>43</v>
      </c>
      <c r="AC2" s="2" t="s">
        <v>44</v>
      </c>
      <c r="AD2" s="2" t="s">
        <v>45</v>
      </c>
      <c r="AE2" s="8" t="s">
        <v>46</v>
      </c>
      <c r="AF2" s="8" t="s">
        <v>47</v>
      </c>
      <c r="AG2" s="8" t="s">
        <v>48</v>
      </c>
      <c r="AH2" s="8" t="s">
        <v>49</v>
      </c>
      <c r="AI2" s="8" t="s">
        <v>50</v>
      </c>
      <c r="AJ2" s="2" t="s">
        <v>92</v>
      </c>
      <c r="AK2" s="2" t="s">
        <v>52</v>
      </c>
    </row>
    <row r="3" spans="1:40" ht="43.2" x14ac:dyDescent="0.3">
      <c r="A3" s="5">
        <v>0</v>
      </c>
      <c r="B3" s="5"/>
      <c r="C3" s="5">
        <f t="shared" ref="C3:C44" si="0">SUM(D3:J3)</f>
        <v>1050</v>
      </c>
      <c r="D3" s="5">
        <v>350</v>
      </c>
      <c r="E3" s="5">
        <v>0</v>
      </c>
      <c r="F3" s="5">
        <v>150</v>
      </c>
      <c r="G3" s="5">
        <v>150</v>
      </c>
      <c r="H3" s="5">
        <v>100</v>
      </c>
      <c r="I3" s="5">
        <v>0</v>
      </c>
      <c r="J3" s="5">
        <v>300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/>
      <c r="S3" s="5"/>
      <c r="T3" s="5"/>
      <c r="U3" s="5"/>
      <c r="V3" s="5">
        <v>0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J3" s="5"/>
      <c r="AK3" s="5"/>
      <c r="AL3" s="22" t="s">
        <v>147</v>
      </c>
      <c r="AM3" s="22" t="s">
        <v>148</v>
      </c>
      <c r="AN3" s="22" t="s">
        <v>149</v>
      </c>
    </row>
    <row r="4" spans="1:40" x14ac:dyDescent="0.3">
      <c r="A4">
        <v>1</v>
      </c>
      <c r="B4" s="15">
        <f t="shared" ref="B4:B44" si="1">1180-C4</f>
        <v>130</v>
      </c>
      <c r="C4" s="15">
        <f t="shared" si="0"/>
        <v>1050</v>
      </c>
      <c r="D4" s="15">
        <f t="shared" ref="D4:D12" si="2">D3-K3</f>
        <v>350</v>
      </c>
      <c r="E4" s="15">
        <v>0</v>
      </c>
      <c r="F4" s="15">
        <v>150</v>
      </c>
      <c r="G4" s="15">
        <f t="shared" ref="G4:G32" si="3">G3-N3</f>
        <v>150</v>
      </c>
      <c r="H4" s="15">
        <v>100</v>
      </c>
      <c r="I4" s="15">
        <v>0</v>
      </c>
      <c r="J4">
        <v>300</v>
      </c>
      <c r="K4" s="15">
        <v>69.3</v>
      </c>
      <c r="L4" s="15">
        <v>0</v>
      </c>
      <c r="M4" s="15">
        <v>0</v>
      </c>
      <c r="N4" s="15">
        <v>25.7</v>
      </c>
      <c r="O4" s="15">
        <v>0</v>
      </c>
      <c r="P4" s="15">
        <v>0</v>
      </c>
      <c r="Q4" s="15">
        <v>0</v>
      </c>
      <c r="R4" s="15" t="s">
        <v>53</v>
      </c>
      <c r="S4" s="15" t="s">
        <v>54</v>
      </c>
      <c r="T4" s="15">
        <v>57.599999999999987</v>
      </c>
      <c r="U4" s="15">
        <v>38.4</v>
      </c>
      <c r="V4" s="15">
        <f t="shared" ref="V4:V43" si="4">SUM(K4:Q4)</f>
        <v>95</v>
      </c>
      <c r="W4" t="s">
        <v>55</v>
      </c>
      <c r="X4">
        <v>96</v>
      </c>
      <c r="Y4">
        <v>96</v>
      </c>
      <c r="AE4" s="9" t="s">
        <v>132</v>
      </c>
      <c r="AF4" s="5"/>
      <c r="AG4" s="5"/>
      <c r="AI4" s="20" t="s">
        <v>150</v>
      </c>
      <c r="AJ4" t="s">
        <v>60</v>
      </c>
      <c r="AK4" s="17" t="s">
        <v>151</v>
      </c>
      <c r="AL4" s="13">
        <v>400</v>
      </c>
      <c r="AM4" s="13">
        <v>400</v>
      </c>
      <c r="AN4" s="13">
        <v>400</v>
      </c>
    </row>
    <row r="5" spans="1:40" x14ac:dyDescent="0.3">
      <c r="A5">
        <v>2</v>
      </c>
      <c r="B5" s="15">
        <f t="shared" si="1"/>
        <v>225</v>
      </c>
      <c r="C5" s="15">
        <f t="shared" si="0"/>
        <v>955</v>
      </c>
      <c r="D5" s="15">
        <f t="shared" si="2"/>
        <v>280.7</v>
      </c>
      <c r="E5" s="15">
        <f t="shared" ref="E5:E12" si="5">E4-L5</f>
        <v>0</v>
      </c>
      <c r="F5" s="15">
        <f t="shared" ref="F5:F32" si="6">F4-M4</f>
        <v>150</v>
      </c>
      <c r="G5" s="15">
        <f t="shared" si="3"/>
        <v>124.3</v>
      </c>
      <c r="H5" s="15">
        <f t="shared" ref="H5:H18" si="7">H4-O4</f>
        <v>100</v>
      </c>
      <c r="I5" s="15">
        <f t="shared" ref="I5:I18" si="8">I4-P4</f>
        <v>0</v>
      </c>
      <c r="J5">
        <f t="shared" ref="J5:J18" si="9">J4-Q4</f>
        <v>300</v>
      </c>
      <c r="K5" s="15">
        <v>69.3</v>
      </c>
      <c r="L5" s="15">
        <v>0</v>
      </c>
      <c r="M5" s="15">
        <v>0</v>
      </c>
      <c r="N5" s="15">
        <v>25.7</v>
      </c>
      <c r="O5" s="15">
        <v>0</v>
      </c>
      <c r="P5" s="15">
        <v>0</v>
      </c>
      <c r="Q5" s="15">
        <v>0</v>
      </c>
      <c r="R5" s="15" t="s">
        <v>53</v>
      </c>
      <c r="S5" s="15" t="s">
        <v>54</v>
      </c>
      <c r="T5" s="15">
        <v>57.599999999999987</v>
      </c>
      <c r="U5" s="15">
        <v>38.4</v>
      </c>
      <c r="V5" s="15">
        <f t="shared" si="4"/>
        <v>95</v>
      </c>
      <c r="W5" t="s">
        <v>55</v>
      </c>
      <c r="X5">
        <v>96</v>
      </c>
      <c r="Y5">
        <v>96</v>
      </c>
      <c r="AE5" s="9" t="s">
        <v>133</v>
      </c>
      <c r="AF5" s="5"/>
      <c r="AG5" s="5"/>
      <c r="AI5" s="20" t="s">
        <v>150</v>
      </c>
      <c r="AJ5" t="s">
        <v>62</v>
      </c>
      <c r="AK5" s="17" t="s">
        <v>151</v>
      </c>
      <c r="AL5" s="13">
        <v>150</v>
      </c>
      <c r="AM5" s="18">
        <v>150</v>
      </c>
      <c r="AN5" s="13">
        <v>150</v>
      </c>
    </row>
    <row r="6" spans="1:40" x14ac:dyDescent="0.3">
      <c r="A6">
        <v>3</v>
      </c>
      <c r="B6" s="15">
        <f t="shared" si="1"/>
        <v>320</v>
      </c>
      <c r="C6" s="15">
        <f t="shared" si="0"/>
        <v>860</v>
      </c>
      <c r="D6" s="15">
        <f t="shared" si="2"/>
        <v>211.39999999999998</v>
      </c>
      <c r="E6" s="15">
        <f t="shared" si="5"/>
        <v>0</v>
      </c>
      <c r="F6" s="15">
        <f t="shared" si="6"/>
        <v>150</v>
      </c>
      <c r="G6" s="15">
        <f t="shared" si="3"/>
        <v>98.6</v>
      </c>
      <c r="H6" s="15">
        <f t="shared" si="7"/>
        <v>100</v>
      </c>
      <c r="I6" s="15">
        <f t="shared" si="8"/>
        <v>0</v>
      </c>
      <c r="J6">
        <f t="shared" si="9"/>
        <v>300</v>
      </c>
      <c r="K6" s="15">
        <v>69.3</v>
      </c>
      <c r="L6" s="15">
        <v>0</v>
      </c>
      <c r="M6" s="15">
        <v>0</v>
      </c>
      <c r="N6" s="15">
        <v>25.7</v>
      </c>
      <c r="O6" s="15">
        <v>0</v>
      </c>
      <c r="P6" s="15">
        <v>0</v>
      </c>
      <c r="Q6" s="15">
        <v>0</v>
      </c>
      <c r="R6" s="15" t="s">
        <v>53</v>
      </c>
      <c r="S6" s="15" t="s">
        <v>54</v>
      </c>
      <c r="T6" s="15">
        <v>34.799999999999997</v>
      </c>
      <c r="U6" s="15">
        <v>23.2</v>
      </c>
      <c r="V6" s="15">
        <f t="shared" si="4"/>
        <v>95</v>
      </c>
      <c r="W6" t="s">
        <v>55</v>
      </c>
      <c r="X6">
        <v>58.000000000000007</v>
      </c>
      <c r="Y6">
        <v>96</v>
      </c>
      <c r="AE6" s="10" t="s">
        <v>58</v>
      </c>
      <c r="AF6" s="5"/>
      <c r="AG6" s="5"/>
      <c r="AI6" s="20" t="s">
        <v>152</v>
      </c>
      <c r="AJ6" t="s">
        <v>75</v>
      </c>
      <c r="AK6" s="17" t="s">
        <v>153</v>
      </c>
      <c r="AL6" s="18">
        <v>250</v>
      </c>
      <c r="AM6" s="13">
        <v>250</v>
      </c>
      <c r="AN6" s="18">
        <v>250</v>
      </c>
    </row>
    <row r="7" spans="1:40" x14ac:dyDescent="0.3">
      <c r="A7">
        <v>4</v>
      </c>
      <c r="B7" s="15">
        <f t="shared" si="1"/>
        <v>415</v>
      </c>
      <c r="C7" s="15">
        <f t="shared" si="0"/>
        <v>765</v>
      </c>
      <c r="D7" s="15">
        <f t="shared" si="2"/>
        <v>142.09999999999997</v>
      </c>
      <c r="E7" s="15">
        <f t="shared" si="5"/>
        <v>0</v>
      </c>
      <c r="F7" s="15">
        <f t="shared" si="6"/>
        <v>150</v>
      </c>
      <c r="G7" s="15">
        <f t="shared" si="3"/>
        <v>72.899999999999991</v>
      </c>
      <c r="H7" s="15">
        <f t="shared" si="7"/>
        <v>100</v>
      </c>
      <c r="I7" s="15">
        <f t="shared" si="8"/>
        <v>0</v>
      </c>
      <c r="J7">
        <f t="shared" si="9"/>
        <v>300</v>
      </c>
      <c r="K7" s="15">
        <v>69.3</v>
      </c>
      <c r="L7" s="15">
        <v>0</v>
      </c>
      <c r="M7" s="15">
        <v>0</v>
      </c>
      <c r="N7" s="15">
        <v>25.7</v>
      </c>
      <c r="O7" s="15">
        <v>0</v>
      </c>
      <c r="P7" s="15">
        <v>0</v>
      </c>
      <c r="Q7" s="15">
        <v>0</v>
      </c>
      <c r="R7" s="15" t="s">
        <v>59</v>
      </c>
      <c r="S7" s="15" t="s">
        <v>60</v>
      </c>
      <c r="T7" s="15">
        <v>25.65</v>
      </c>
      <c r="U7" s="15">
        <v>69.349999999999994</v>
      </c>
      <c r="V7" s="15">
        <f t="shared" si="4"/>
        <v>95</v>
      </c>
      <c r="W7" t="s">
        <v>61</v>
      </c>
      <c r="X7">
        <v>95</v>
      </c>
      <c r="Y7">
        <v>95</v>
      </c>
      <c r="AE7" s="10" t="s">
        <v>58</v>
      </c>
      <c r="AF7" s="5"/>
      <c r="AG7" s="5"/>
      <c r="AI7" s="20" t="s">
        <v>154</v>
      </c>
      <c r="AJ7" t="s">
        <v>155</v>
      </c>
      <c r="AK7" s="17" t="s">
        <v>153</v>
      </c>
      <c r="AL7" s="18">
        <v>320</v>
      </c>
      <c r="AM7" s="18">
        <v>320</v>
      </c>
      <c r="AN7" s="18">
        <v>320</v>
      </c>
    </row>
    <row r="8" spans="1:40" x14ac:dyDescent="0.3">
      <c r="A8">
        <v>5</v>
      </c>
      <c r="B8" s="15">
        <f t="shared" si="1"/>
        <v>510</v>
      </c>
      <c r="C8" s="15">
        <f t="shared" si="0"/>
        <v>670</v>
      </c>
      <c r="D8" s="15">
        <f t="shared" si="2"/>
        <v>72.799999999999969</v>
      </c>
      <c r="E8" s="15">
        <f t="shared" si="5"/>
        <v>0</v>
      </c>
      <c r="F8" s="15">
        <f t="shared" si="6"/>
        <v>150</v>
      </c>
      <c r="G8" s="15">
        <f t="shared" si="3"/>
        <v>47.199999999999989</v>
      </c>
      <c r="H8" s="15">
        <f t="shared" si="7"/>
        <v>100</v>
      </c>
      <c r="I8" s="15">
        <f t="shared" si="8"/>
        <v>0</v>
      </c>
      <c r="J8">
        <f t="shared" si="9"/>
        <v>300</v>
      </c>
      <c r="K8" s="15">
        <v>69.3</v>
      </c>
      <c r="L8" s="15">
        <v>0</v>
      </c>
      <c r="M8" s="15">
        <v>0</v>
      </c>
      <c r="N8" s="15">
        <v>25.7</v>
      </c>
      <c r="O8" s="15">
        <v>0</v>
      </c>
      <c r="P8" s="15">
        <v>0</v>
      </c>
      <c r="Q8" s="15">
        <v>0</v>
      </c>
      <c r="R8" s="15" t="s">
        <v>62</v>
      </c>
      <c r="S8" s="15" t="s">
        <v>60</v>
      </c>
      <c r="T8" s="15">
        <v>25.92</v>
      </c>
      <c r="U8" s="15">
        <v>70.08</v>
      </c>
      <c r="V8" s="15">
        <f t="shared" si="4"/>
        <v>95</v>
      </c>
      <c r="W8" t="s">
        <v>61</v>
      </c>
      <c r="X8">
        <v>96</v>
      </c>
      <c r="Y8">
        <v>96</v>
      </c>
      <c r="AE8" s="11" t="s">
        <v>63</v>
      </c>
      <c r="AF8" s="5" t="s">
        <v>64</v>
      </c>
      <c r="AG8" s="5"/>
      <c r="AI8" s="20" t="s">
        <v>150</v>
      </c>
      <c r="AJ8" t="s">
        <v>59</v>
      </c>
      <c r="AK8" s="17" t="s">
        <v>156</v>
      </c>
      <c r="AL8" s="19">
        <v>150</v>
      </c>
      <c r="AM8" s="18">
        <v>150</v>
      </c>
      <c r="AN8" s="14">
        <v>150</v>
      </c>
    </row>
    <row r="9" spans="1:40" x14ac:dyDescent="0.3">
      <c r="A9">
        <v>6</v>
      </c>
      <c r="B9" s="15">
        <f t="shared" si="1"/>
        <v>605</v>
      </c>
      <c r="C9" s="15">
        <f t="shared" si="0"/>
        <v>575</v>
      </c>
      <c r="D9" s="15">
        <f t="shared" si="2"/>
        <v>3.4999999999999716</v>
      </c>
      <c r="E9" s="15">
        <f t="shared" si="5"/>
        <v>0</v>
      </c>
      <c r="F9" s="15">
        <f t="shared" si="6"/>
        <v>150</v>
      </c>
      <c r="G9" s="15">
        <f t="shared" si="3"/>
        <v>21.499999999999989</v>
      </c>
      <c r="H9" s="15">
        <f t="shared" si="7"/>
        <v>100</v>
      </c>
      <c r="I9" s="15">
        <f t="shared" si="8"/>
        <v>0</v>
      </c>
      <c r="J9">
        <f t="shared" si="9"/>
        <v>300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95</v>
      </c>
      <c r="R9" s="15" t="s">
        <v>62</v>
      </c>
      <c r="S9" s="15" t="s">
        <v>60</v>
      </c>
      <c r="T9" s="15">
        <v>25.92</v>
      </c>
      <c r="U9" s="15">
        <v>70.08</v>
      </c>
      <c r="V9" s="15">
        <f t="shared" si="4"/>
        <v>95</v>
      </c>
      <c r="W9" t="s">
        <v>61</v>
      </c>
      <c r="X9">
        <v>96</v>
      </c>
      <c r="Y9">
        <v>96</v>
      </c>
      <c r="AE9" s="11" t="s">
        <v>63</v>
      </c>
      <c r="AF9" s="5" t="s">
        <v>65</v>
      </c>
      <c r="AG9" s="5"/>
      <c r="AI9" s="20" t="s">
        <v>152</v>
      </c>
      <c r="AJ9" t="s">
        <v>75</v>
      </c>
      <c r="AK9" s="17" t="s">
        <v>157</v>
      </c>
      <c r="AL9" s="19">
        <v>550</v>
      </c>
      <c r="AM9" s="19">
        <v>550</v>
      </c>
      <c r="AN9" s="19">
        <v>550</v>
      </c>
    </row>
    <row r="10" spans="1:40" x14ac:dyDescent="0.3">
      <c r="A10">
        <v>7</v>
      </c>
      <c r="B10" s="15">
        <f t="shared" si="1"/>
        <v>700</v>
      </c>
      <c r="C10" s="15">
        <f t="shared" si="0"/>
        <v>480</v>
      </c>
      <c r="D10" s="15">
        <f t="shared" si="2"/>
        <v>3.4999999999999716</v>
      </c>
      <c r="E10" s="15">
        <f t="shared" si="5"/>
        <v>0</v>
      </c>
      <c r="F10" s="15">
        <f t="shared" si="6"/>
        <v>150</v>
      </c>
      <c r="G10" s="15">
        <f t="shared" si="3"/>
        <v>21.499999999999989</v>
      </c>
      <c r="H10" s="15">
        <f t="shared" si="7"/>
        <v>100</v>
      </c>
      <c r="I10" s="15">
        <f t="shared" si="8"/>
        <v>0</v>
      </c>
      <c r="J10">
        <f t="shared" si="9"/>
        <v>205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95</v>
      </c>
      <c r="R10" s="15" t="s">
        <v>62</v>
      </c>
      <c r="S10" s="15" t="s">
        <v>60</v>
      </c>
      <c r="T10" s="15">
        <v>25.92</v>
      </c>
      <c r="U10" s="15">
        <v>70.08</v>
      </c>
      <c r="V10" s="15">
        <f t="shared" si="4"/>
        <v>95</v>
      </c>
      <c r="W10" t="s">
        <v>61</v>
      </c>
      <c r="X10">
        <v>96</v>
      </c>
      <c r="Y10">
        <v>96</v>
      </c>
      <c r="AE10" s="12" t="s">
        <v>66</v>
      </c>
      <c r="AF10" s="5" t="s">
        <v>67</v>
      </c>
      <c r="AG10" s="5"/>
      <c r="AI10" s="20" t="s">
        <v>150</v>
      </c>
      <c r="AJ10" t="s">
        <v>60</v>
      </c>
      <c r="AK10" s="17" t="s">
        <v>158</v>
      </c>
      <c r="AL10" s="14">
        <v>360</v>
      </c>
      <c r="AM10" s="14">
        <v>360</v>
      </c>
      <c r="AN10" s="21">
        <v>360</v>
      </c>
    </row>
    <row r="11" spans="1:40" x14ac:dyDescent="0.3">
      <c r="A11">
        <v>8</v>
      </c>
      <c r="B11" s="15">
        <f t="shared" si="1"/>
        <v>795</v>
      </c>
      <c r="C11" s="15">
        <f t="shared" si="0"/>
        <v>385</v>
      </c>
      <c r="D11" s="15">
        <f t="shared" si="2"/>
        <v>3.4999999999999716</v>
      </c>
      <c r="E11" s="15">
        <f t="shared" si="5"/>
        <v>0</v>
      </c>
      <c r="F11" s="15">
        <f t="shared" si="6"/>
        <v>150</v>
      </c>
      <c r="G11" s="15">
        <f t="shared" si="3"/>
        <v>21.499999999999989</v>
      </c>
      <c r="H11" s="15">
        <f t="shared" si="7"/>
        <v>100</v>
      </c>
      <c r="I11" s="15">
        <f t="shared" si="8"/>
        <v>0</v>
      </c>
      <c r="J11">
        <f t="shared" si="9"/>
        <v>110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95</v>
      </c>
      <c r="R11" s="15" t="s">
        <v>62</v>
      </c>
      <c r="S11" s="15" t="s">
        <v>60</v>
      </c>
      <c r="T11" s="15">
        <v>25.92</v>
      </c>
      <c r="U11" s="15">
        <v>70.08</v>
      </c>
      <c r="V11" s="15">
        <f t="shared" si="4"/>
        <v>95</v>
      </c>
      <c r="W11" t="s">
        <v>61</v>
      </c>
      <c r="X11">
        <v>96</v>
      </c>
      <c r="Y11">
        <v>96</v>
      </c>
      <c r="AE11" s="12" t="s">
        <v>66</v>
      </c>
      <c r="AF11" s="5" t="s">
        <v>58</v>
      </c>
      <c r="AG11" s="5"/>
      <c r="AI11" s="20" t="s">
        <v>150</v>
      </c>
      <c r="AJ11" t="s">
        <v>53</v>
      </c>
      <c r="AK11" s="17" t="s">
        <v>158</v>
      </c>
      <c r="AL11" s="14">
        <v>200</v>
      </c>
      <c r="AM11" s="14">
        <v>200</v>
      </c>
      <c r="AN11" s="14">
        <v>200</v>
      </c>
    </row>
    <row r="12" spans="1:40" x14ac:dyDescent="0.3">
      <c r="A12">
        <v>9</v>
      </c>
      <c r="B12" s="15">
        <f t="shared" si="1"/>
        <v>890</v>
      </c>
      <c r="C12" s="15">
        <f t="shared" si="0"/>
        <v>290</v>
      </c>
      <c r="D12" s="15">
        <f t="shared" si="2"/>
        <v>3.4999999999999716</v>
      </c>
      <c r="E12" s="15">
        <f t="shared" si="5"/>
        <v>0</v>
      </c>
      <c r="F12" s="15">
        <f t="shared" si="6"/>
        <v>150</v>
      </c>
      <c r="G12" s="15">
        <f t="shared" si="3"/>
        <v>21.499999999999989</v>
      </c>
      <c r="H12" s="15">
        <f t="shared" si="7"/>
        <v>100</v>
      </c>
      <c r="I12" s="15">
        <f t="shared" si="8"/>
        <v>0</v>
      </c>
      <c r="J12">
        <f t="shared" si="9"/>
        <v>15</v>
      </c>
      <c r="K12" s="15">
        <v>0</v>
      </c>
      <c r="L12" s="15">
        <v>0</v>
      </c>
      <c r="M12" s="15">
        <f>(95-15)*0.6</f>
        <v>48</v>
      </c>
      <c r="N12" s="15">
        <v>0</v>
      </c>
      <c r="O12" s="15">
        <f>(95-15)*0.4</f>
        <v>32</v>
      </c>
      <c r="P12" s="15">
        <v>0</v>
      </c>
      <c r="Q12" s="15">
        <v>15</v>
      </c>
      <c r="R12" s="15" t="s">
        <v>62</v>
      </c>
      <c r="S12" s="15" t="s">
        <v>60</v>
      </c>
      <c r="T12" s="15">
        <v>25.92</v>
      </c>
      <c r="U12" s="15">
        <v>70.08</v>
      </c>
      <c r="V12" s="15">
        <f t="shared" si="4"/>
        <v>95</v>
      </c>
      <c r="W12" t="s">
        <v>61</v>
      </c>
      <c r="X12">
        <v>96</v>
      </c>
      <c r="Y12">
        <v>96</v>
      </c>
      <c r="AE12" s="12" t="s">
        <v>66</v>
      </c>
      <c r="AF12" s="5" t="s">
        <v>58</v>
      </c>
      <c r="AG12" s="5"/>
      <c r="AI12" s="20" t="s">
        <v>154</v>
      </c>
      <c r="AJ12" t="s">
        <v>155</v>
      </c>
      <c r="AK12" s="17" t="s">
        <v>159</v>
      </c>
      <c r="AL12" s="21">
        <v>280</v>
      </c>
      <c r="AM12" s="21">
        <v>280</v>
      </c>
      <c r="AN12" s="14">
        <v>280</v>
      </c>
    </row>
    <row r="13" spans="1:40" x14ac:dyDescent="0.3">
      <c r="A13" s="6">
        <v>10</v>
      </c>
      <c r="B13" s="16">
        <f t="shared" si="1"/>
        <v>435</v>
      </c>
      <c r="C13" s="16">
        <f t="shared" si="0"/>
        <v>745</v>
      </c>
      <c r="D13" s="16">
        <f>D12-K12+400</f>
        <v>403.5</v>
      </c>
      <c r="E13" s="16">
        <f>E12-L13+150</f>
        <v>150</v>
      </c>
      <c r="F13" s="16">
        <f t="shared" si="6"/>
        <v>102</v>
      </c>
      <c r="G13" s="16">
        <f t="shared" si="3"/>
        <v>21.499999999999989</v>
      </c>
      <c r="H13" s="16">
        <f t="shared" si="7"/>
        <v>68</v>
      </c>
      <c r="I13" s="16">
        <f t="shared" si="8"/>
        <v>0</v>
      </c>
      <c r="J13" s="6">
        <f t="shared" si="9"/>
        <v>0</v>
      </c>
      <c r="K13" s="16">
        <v>0</v>
      </c>
      <c r="L13" s="16">
        <v>0</v>
      </c>
      <c r="M13" s="16">
        <v>57.6</v>
      </c>
      <c r="N13" s="16">
        <v>0</v>
      </c>
      <c r="O13" s="16">
        <v>38.4</v>
      </c>
      <c r="P13" s="16">
        <v>0</v>
      </c>
      <c r="Q13" s="16">
        <v>0</v>
      </c>
      <c r="R13" s="16" t="s">
        <v>62</v>
      </c>
      <c r="S13" s="16" t="s">
        <v>60</v>
      </c>
      <c r="T13" s="16">
        <v>20.399999999999991</v>
      </c>
      <c r="U13" s="16">
        <v>55.15555555555553</v>
      </c>
      <c r="V13" s="16">
        <f t="shared" si="4"/>
        <v>96</v>
      </c>
      <c r="W13" s="6" t="s">
        <v>61</v>
      </c>
      <c r="X13" s="6">
        <v>75.555555555555515</v>
      </c>
      <c r="Y13" s="6">
        <v>96</v>
      </c>
      <c r="Z13" s="6"/>
      <c r="AA13" s="6"/>
      <c r="AB13" s="6"/>
      <c r="AC13" s="6"/>
      <c r="AD13" s="6"/>
      <c r="AE13" s="6" t="s">
        <v>68</v>
      </c>
      <c r="AF13" s="5" t="s">
        <v>58</v>
      </c>
      <c r="AG13" s="5" t="s">
        <v>70</v>
      </c>
      <c r="AH13" s="5" t="s">
        <v>69</v>
      </c>
      <c r="AI13" s="20" t="s">
        <v>152</v>
      </c>
      <c r="AJ13" t="s">
        <v>54</v>
      </c>
      <c r="AK13" s="17" t="s">
        <v>160</v>
      </c>
      <c r="AL13" s="21">
        <v>150</v>
      </c>
      <c r="AM13" s="21">
        <v>150</v>
      </c>
      <c r="AN13" s="21">
        <v>150</v>
      </c>
    </row>
    <row r="14" spans="1:40" x14ac:dyDescent="0.3">
      <c r="A14">
        <v>11</v>
      </c>
      <c r="B14" s="15">
        <f t="shared" si="1"/>
        <v>536.94000000000005</v>
      </c>
      <c r="C14" s="15">
        <f t="shared" si="0"/>
        <v>643.05999999999995</v>
      </c>
      <c r="D14" s="15">
        <f t="shared" ref="D14:D44" si="10">D13-K13</f>
        <v>403.5</v>
      </c>
      <c r="E14" s="15">
        <f t="shared" ref="E14:E44" si="11">E13-L14</f>
        <v>144.06</v>
      </c>
      <c r="F14" s="15">
        <f t="shared" si="6"/>
        <v>44.4</v>
      </c>
      <c r="G14" s="15">
        <f t="shared" si="3"/>
        <v>21.499999999999989</v>
      </c>
      <c r="H14" s="15">
        <f t="shared" si="7"/>
        <v>29.6</v>
      </c>
      <c r="I14" s="15">
        <f t="shared" si="8"/>
        <v>0</v>
      </c>
      <c r="J14">
        <f t="shared" si="9"/>
        <v>0</v>
      </c>
      <c r="K14" s="15">
        <f>(96-74)*0.73</f>
        <v>16.059999999999999</v>
      </c>
      <c r="L14" s="15">
        <f>(96-74)*0.27</f>
        <v>5.94</v>
      </c>
      <c r="M14" s="15">
        <v>44.4</v>
      </c>
      <c r="N14" s="15">
        <v>0</v>
      </c>
      <c r="O14" s="15">
        <f>(M14/60)*40</f>
        <v>29.6</v>
      </c>
      <c r="P14" s="15">
        <v>0</v>
      </c>
      <c r="Q14" s="15">
        <v>0</v>
      </c>
      <c r="R14" s="15" t="s">
        <v>59</v>
      </c>
      <c r="S14" s="15" t="s">
        <v>60</v>
      </c>
      <c r="T14" s="15">
        <v>25.65</v>
      </c>
      <c r="U14" s="15">
        <v>69.349999999999994</v>
      </c>
      <c r="V14" s="15">
        <f t="shared" si="4"/>
        <v>96</v>
      </c>
      <c r="W14" t="s">
        <v>61</v>
      </c>
      <c r="X14">
        <v>95</v>
      </c>
      <c r="Y14">
        <v>95</v>
      </c>
      <c r="AF14" s="5" t="s">
        <v>63</v>
      </c>
      <c r="AG14" s="5" t="s">
        <v>99</v>
      </c>
      <c r="AH14" s="5" t="s">
        <v>101</v>
      </c>
      <c r="AI14" s="20" t="s">
        <v>152</v>
      </c>
      <c r="AJ14" t="s">
        <v>75</v>
      </c>
      <c r="AK14" s="17" t="s">
        <v>160</v>
      </c>
      <c r="AL14" s="21">
        <v>100</v>
      </c>
      <c r="AM14" s="21">
        <v>100</v>
      </c>
      <c r="AN14" s="21">
        <v>100</v>
      </c>
    </row>
    <row r="15" spans="1:40" x14ac:dyDescent="0.3">
      <c r="A15">
        <v>12</v>
      </c>
      <c r="B15" s="15">
        <f t="shared" si="1"/>
        <v>653</v>
      </c>
      <c r="C15" s="15">
        <f t="shared" si="0"/>
        <v>527</v>
      </c>
      <c r="D15" s="15">
        <f t="shared" si="10"/>
        <v>387.44</v>
      </c>
      <c r="E15" s="15">
        <f t="shared" si="11"/>
        <v>118.06</v>
      </c>
      <c r="F15" s="15">
        <f t="shared" si="6"/>
        <v>0</v>
      </c>
      <c r="G15" s="15">
        <f t="shared" si="3"/>
        <v>21.499999999999989</v>
      </c>
      <c r="H15" s="15">
        <f t="shared" si="7"/>
        <v>0</v>
      </c>
      <c r="I15" s="15">
        <f t="shared" si="8"/>
        <v>0</v>
      </c>
      <c r="J15">
        <f t="shared" si="9"/>
        <v>0</v>
      </c>
      <c r="K15">
        <v>70</v>
      </c>
      <c r="L15">
        <v>26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59</v>
      </c>
      <c r="S15" t="s">
        <v>60</v>
      </c>
      <c r="T15">
        <v>25.65</v>
      </c>
      <c r="U15">
        <v>69.349999999999994</v>
      </c>
      <c r="V15">
        <f t="shared" si="4"/>
        <v>96</v>
      </c>
      <c r="W15" t="s">
        <v>61</v>
      </c>
      <c r="X15">
        <v>95</v>
      </c>
      <c r="Y15">
        <v>95</v>
      </c>
      <c r="AF15" s="5" t="s">
        <v>63</v>
      </c>
      <c r="AG15" s="5" t="s">
        <v>99</v>
      </c>
      <c r="AH15" s="5" t="s">
        <v>101</v>
      </c>
    </row>
    <row r="16" spans="1:40" x14ac:dyDescent="0.3">
      <c r="A16">
        <v>13</v>
      </c>
      <c r="B16" s="15">
        <f t="shared" si="1"/>
        <v>749</v>
      </c>
      <c r="C16" s="15">
        <f t="shared" si="0"/>
        <v>431</v>
      </c>
      <c r="D16" s="15">
        <f t="shared" si="10"/>
        <v>317.44</v>
      </c>
      <c r="E16" s="15">
        <f t="shared" si="11"/>
        <v>92.06</v>
      </c>
      <c r="F16" s="15">
        <f t="shared" si="6"/>
        <v>0</v>
      </c>
      <c r="G16" s="15">
        <f t="shared" si="3"/>
        <v>21.499999999999989</v>
      </c>
      <c r="H16" s="15">
        <f t="shared" si="7"/>
        <v>0</v>
      </c>
      <c r="I16" s="15">
        <f t="shared" si="8"/>
        <v>0</v>
      </c>
      <c r="J16">
        <f t="shared" si="9"/>
        <v>0</v>
      </c>
      <c r="K16">
        <v>70</v>
      </c>
      <c r="L16">
        <v>26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59</v>
      </c>
      <c r="S16" t="s">
        <v>60</v>
      </c>
      <c r="T16">
        <v>25.65</v>
      </c>
      <c r="U16">
        <v>69.349999999999994</v>
      </c>
      <c r="V16">
        <f t="shared" si="4"/>
        <v>96</v>
      </c>
      <c r="W16" t="s">
        <v>61</v>
      </c>
      <c r="X16">
        <v>95</v>
      </c>
      <c r="Y16">
        <v>95</v>
      </c>
      <c r="AF16" s="5" t="s">
        <v>71</v>
      </c>
      <c r="AG16" s="5" t="s">
        <v>99</v>
      </c>
      <c r="AH16" s="5" t="s">
        <v>101</v>
      </c>
    </row>
    <row r="17" spans="1:35" x14ac:dyDescent="0.3">
      <c r="A17">
        <v>14</v>
      </c>
      <c r="B17" s="15">
        <f t="shared" si="1"/>
        <v>845</v>
      </c>
      <c r="C17" s="15">
        <f t="shared" si="0"/>
        <v>335</v>
      </c>
      <c r="D17" s="15">
        <f t="shared" si="10"/>
        <v>247.44</v>
      </c>
      <c r="E17" s="15">
        <f t="shared" si="11"/>
        <v>66.06</v>
      </c>
      <c r="F17" s="15">
        <f t="shared" si="6"/>
        <v>0</v>
      </c>
      <c r="G17" s="15">
        <f t="shared" si="3"/>
        <v>21.499999999999989</v>
      </c>
      <c r="H17" s="15">
        <f t="shared" si="7"/>
        <v>0</v>
      </c>
      <c r="I17" s="15">
        <f t="shared" si="8"/>
        <v>0</v>
      </c>
      <c r="J17">
        <f t="shared" si="9"/>
        <v>0</v>
      </c>
      <c r="K17">
        <v>70</v>
      </c>
      <c r="L17">
        <v>26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59</v>
      </c>
      <c r="S17" t="s">
        <v>60</v>
      </c>
      <c r="T17">
        <v>24.797260273972611</v>
      </c>
      <c r="U17">
        <v>67.044444444444451</v>
      </c>
      <c r="V17">
        <f t="shared" si="4"/>
        <v>96</v>
      </c>
      <c r="W17" t="s">
        <v>61</v>
      </c>
      <c r="X17">
        <v>91.841704718417063</v>
      </c>
      <c r="Y17">
        <v>95</v>
      </c>
      <c r="AF17" s="5" t="s">
        <v>71</v>
      </c>
      <c r="AG17" s="5" t="s">
        <v>99</v>
      </c>
      <c r="AH17" s="5" t="s">
        <v>101</v>
      </c>
    </row>
    <row r="18" spans="1:35" x14ac:dyDescent="0.3">
      <c r="A18">
        <v>15</v>
      </c>
      <c r="B18" s="15">
        <f t="shared" si="1"/>
        <v>941</v>
      </c>
      <c r="C18" s="15">
        <f t="shared" si="0"/>
        <v>239</v>
      </c>
      <c r="D18" s="15">
        <f t="shared" si="10"/>
        <v>177.44</v>
      </c>
      <c r="E18" s="15">
        <f t="shared" si="11"/>
        <v>40.06</v>
      </c>
      <c r="F18" s="15">
        <f t="shared" si="6"/>
        <v>0</v>
      </c>
      <c r="G18" s="15">
        <f t="shared" si="3"/>
        <v>21.499999999999989</v>
      </c>
      <c r="H18" s="15">
        <f t="shared" si="7"/>
        <v>0</v>
      </c>
      <c r="I18" s="15">
        <f t="shared" si="8"/>
        <v>0</v>
      </c>
      <c r="J18" s="15">
        <f t="shared" si="9"/>
        <v>0</v>
      </c>
      <c r="K18" s="15">
        <v>70</v>
      </c>
      <c r="L18" s="15">
        <v>26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 t="s">
        <v>53</v>
      </c>
      <c r="S18" s="15"/>
      <c r="T18" s="15">
        <v>7.1054273576010019E-15</v>
      </c>
      <c r="U18" s="15">
        <v>0</v>
      </c>
      <c r="V18" s="15">
        <f t="shared" si="4"/>
        <v>96</v>
      </c>
      <c r="W18" t="s">
        <v>72</v>
      </c>
      <c r="X18">
        <v>7.1054273576010019E-15</v>
      </c>
      <c r="Y18">
        <v>96</v>
      </c>
      <c r="AF18" s="5" t="s">
        <v>71</v>
      </c>
      <c r="AG18" s="5" t="s">
        <v>63</v>
      </c>
      <c r="AH18" s="5" t="s">
        <v>101</v>
      </c>
    </row>
    <row r="19" spans="1:35" x14ac:dyDescent="0.3">
      <c r="A19" s="6">
        <v>16</v>
      </c>
      <c r="B19" s="16">
        <f t="shared" si="1"/>
        <v>467</v>
      </c>
      <c r="C19" s="16">
        <f t="shared" si="0"/>
        <v>713</v>
      </c>
      <c r="D19" s="16">
        <f t="shared" si="10"/>
        <v>107.44</v>
      </c>
      <c r="E19" s="16">
        <f t="shared" si="11"/>
        <v>14.060000000000002</v>
      </c>
      <c r="F19" s="16">
        <f t="shared" si="6"/>
        <v>0</v>
      </c>
      <c r="G19" s="16">
        <f t="shared" si="3"/>
        <v>21.499999999999989</v>
      </c>
      <c r="H19" s="16">
        <f t="shared" ref="H19:H35" si="12">H18-O18</f>
        <v>0</v>
      </c>
      <c r="I19" s="16">
        <f>I18-P18+250</f>
        <v>250</v>
      </c>
      <c r="J19" s="16">
        <f>J18-Q18+320</f>
        <v>320</v>
      </c>
      <c r="K19" s="16">
        <v>70</v>
      </c>
      <c r="L19" s="16">
        <v>26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 t="s">
        <v>59</v>
      </c>
      <c r="S19" s="16"/>
      <c r="T19" s="16">
        <v>95</v>
      </c>
      <c r="U19" s="16">
        <v>0</v>
      </c>
      <c r="V19" s="16">
        <f t="shared" si="4"/>
        <v>96</v>
      </c>
      <c r="W19" s="6" t="s">
        <v>72</v>
      </c>
      <c r="X19" s="6">
        <v>95</v>
      </c>
      <c r="Y19" s="6">
        <v>95</v>
      </c>
      <c r="Z19" s="6"/>
      <c r="AA19" s="6"/>
      <c r="AB19" s="6"/>
      <c r="AC19" s="6"/>
      <c r="AD19" s="6"/>
      <c r="AE19" s="6"/>
      <c r="AF19" s="13" t="s">
        <v>74</v>
      </c>
      <c r="AG19" s="5" t="s">
        <v>63</v>
      </c>
      <c r="AH19" s="5" t="s">
        <v>101</v>
      </c>
    </row>
    <row r="20" spans="1:35" x14ac:dyDescent="0.3">
      <c r="A20">
        <v>17</v>
      </c>
      <c r="B20" s="15">
        <f t="shared" si="1"/>
        <v>550.84767123287679</v>
      </c>
      <c r="C20" s="15">
        <f t="shared" si="0"/>
        <v>629.15232876712321</v>
      </c>
      <c r="D20" s="15">
        <f t="shared" si="10"/>
        <v>37.44</v>
      </c>
      <c r="E20" s="15">
        <f t="shared" si="11"/>
        <v>0.21232876712329052</v>
      </c>
      <c r="F20" s="15">
        <f t="shared" si="6"/>
        <v>0</v>
      </c>
      <c r="G20" s="15">
        <f t="shared" si="3"/>
        <v>21.499999999999989</v>
      </c>
      <c r="H20" s="15">
        <f t="shared" si="12"/>
        <v>0</v>
      </c>
      <c r="I20" s="15">
        <f t="shared" ref="I20:J22" si="13">I19-P19</f>
        <v>250</v>
      </c>
      <c r="J20" s="15">
        <f t="shared" si="13"/>
        <v>320</v>
      </c>
      <c r="K20" s="15">
        <v>37.44</v>
      </c>
      <c r="L20" s="15">
        <f>(37.44/73)*27</f>
        <v>13.847671232876712</v>
      </c>
      <c r="M20" s="15">
        <v>0</v>
      </c>
      <c r="N20" s="15">
        <v>0</v>
      </c>
      <c r="O20" s="15">
        <v>0</v>
      </c>
      <c r="P20" s="15">
        <f>95-51.287</f>
        <v>43.713000000000001</v>
      </c>
      <c r="Q20" s="15">
        <v>0</v>
      </c>
      <c r="R20" s="15" t="s">
        <v>59</v>
      </c>
      <c r="S20" s="15"/>
      <c r="T20" s="15">
        <v>77.60273972602738</v>
      </c>
      <c r="U20" s="15">
        <v>0</v>
      </c>
      <c r="V20" s="15">
        <f t="shared" si="4"/>
        <v>95.000671232876712</v>
      </c>
      <c r="W20" t="s">
        <v>72</v>
      </c>
      <c r="X20">
        <v>77.60273972602738</v>
      </c>
      <c r="Y20">
        <v>95</v>
      </c>
      <c r="AG20" s="5" t="s">
        <v>71</v>
      </c>
      <c r="AH20" s="5" t="s">
        <v>78</v>
      </c>
    </row>
    <row r="21" spans="1:35" x14ac:dyDescent="0.3">
      <c r="A21">
        <v>18</v>
      </c>
      <c r="B21" s="15">
        <f t="shared" si="1"/>
        <v>632.0006712328767</v>
      </c>
      <c r="C21" s="15">
        <f t="shared" si="0"/>
        <v>547.9993287671233</v>
      </c>
      <c r="D21" s="15">
        <f t="shared" si="10"/>
        <v>0</v>
      </c>
      <c r="E21" s="15">
        <f t="shared" si="11"/>
        <v>0.21232876712329052</v>
      </c>
      <c r="F21" s="15">
        <f t="shared" si="6"/>
        <v>0</v>
      </c>
      <c r="G21" s="15">
        <f t="shared" si="3"/>
        <v>21.499999999999989</v>
      </c>
      <c r="H21" s="15">
        <f t="shared" si="12"/>
        <v>0</v>
      </c>
      <c r="I21" s="15">
        <f t="shared" si="13"/>
        <v>206.28700000000001</v>
      </c>
      <c r="J21" s="15">
        <f t="shared" si="13"/>
        <v>320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95</v>
      </c>
      <c r="Q21" s="15">
        <v>0</v>
      </c>
      <c r="R21" s="15" t="s">
        <v>75</v>
      </c>
      <c r="S21" s="15"/>
      <c r="T21" s="15">
        <v>95</v>
      </c>
      <c r="U21" s="15">
        <v>0</v>
      </c>
      <c r="V21" s="15">
        <f t="shared" si="4"/>
        <v>95</v>
      </c>
      <c r="W21" t="s">
        <v>72</v>
      </c>
      <c r="X21">
        <v>95</v>
      </c>
      <c r="Y21">
        <v>95</v>
      </c>
      <c r="AG21" s="5" t="s">
        <v>71</v>
      </c>
      <c r="AH21" s="5" t="s">
        <v>65</v>
      </c>
    </row>
    <row r="22" spans="1:35" x14ac:dyDescent="0.3">
      <c r="A22">
        <v>19</v>
      </c>
      <c r="B22" s="15">
        <f t="shared" si="1"/>
        <v>727.0006712328767</v>
      </c>
      <c r="C22" s="15">
        <f t="shared" si="0"/>
        <v>452.9993287671233</v>
      </c>
      <c r="D22" s="15">
        <f t="shared" si="10"/>
        <v>0</v>
      </c>
      <c r="E22" s="15">
        <f t="shared" si="11"/>
        <v>0.21232876712329052</v>
      </c>
      <c r="F22" s="15">
        <f t="shared" si="6"/>
        <v>0</v>
      </c>
      <c r="G22" s="15">
        <f t="shared" si="3"/>
        <v>21.499999999999989</v>
      </c>
      <c r="H22" s="15">
        <f t="shared" si="12"/>
        <v>0</v>
      </c>
      <c r="I22" s="15">
        <f t="shared" si="13"/>
        <v>111.28700000000001</v>
      </c>
      <c r="J22" s="15">
        <f t="shared" si="13"/>
        <v>320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95</v>
      </c>
      <c r="Q22" s="15">
        <v>0</v>
      </c>
      <c r="R22" s="15" t="s">
        <v>53</v>
      </c>
      <c r="S22" s="15"/>
      <c r="T22" s="15">
        <v>96</v>
      </c>
      <c r="U22" s="15">
        <v>0</v>
      </c>
      <c r="V22" s="15">
        <f t="shared" si="4"/>
        <v>95</v>
      </c>
      <c r="W22" t="s">
        <v>72</v>
      </c>
      <c r="X22">
        <v>96</v>
      </c>
      <c r="Y22">
        <v>96</v>
      </c>
      <c r="AG22" s="5" t="s">
        <v>71</v>
      </c>
      <c r="AH22" s="5" t="s">
        <v>65</v>
      </c>
      <c r="AI22" s="5" t="s">
        <v>77</v>
      </c>
    </row>
    <row r="23" spans="1:35" x14ac:dyDescent="0.3">
      <c r="A23" s="6">
        <v>20</v>
      </c>
      <c r="B23" s="16">
        <f t="shared" si="1"/>
        <v>272.0006712328767</v>
      </c>
      <c r="C23" s="16">
        <f t="shared" si="0"/>
        <v>907.9993287671233</v>
      </c>
      <c r="D23" s="16">
        <f t="shared" si="10"/>
        <v>0</v>
      </c>
      <c r="E23" s="16">
        <f t="shared" si="11"/>
        <v>0.21232876712329052</v>
      </c>
      <c r="F23" s="16">
        <f t="shared" si="6"/>
        <v>0</v>
      </c>
      <c r="G23" s="16">
        <f t="shared" si="3"/>
        <v>21.499999999999989</v>
      </c>
      <c r="H23" s="16">
        <f t="shared" si="12"/>
        <v>0</v>
      </c>
      <c r="I23" s="16">
        <f>I22-P22+550</f>
        <v>566.28700000000003</v>
      </c>
      <c r="J23" s="16">
        <f t="shared" ref="J23:J32" si="14">J22-Q22</f>
        <v>320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16.286999999999999</v>
      </c>
      <c r="Q23" s="16">
        <f>95-16.287</f>
        <v>78.712999999999994</v>
      </c>
      <c r="R23" s="16" t="s">
        <v>53</v>
      </c>
      <c r="S23" s="16"/>
      <c r="T23" s="16">
        <v>96</v>
      </c>
      <c r="U23" s="16">
        <v>0</v>
      </c>
      <c r="V23" s="16">
        <f t="shared" si="4"/>
        <v>95</v>
      </c>
      <c r="W23" s="6" t="s">
        <v>72</v>
      </c>
      <c r="X23" s="6">
        <v>96</v>
      </c>
      <c r="Y23" s="6">
        <v>96</v>
      </c>
      <c r="Z23" s="6"/>
      <c r="AA23" s="6"/>
      <c r="AB23" s="6"/>
      <c r="AC23" s="6"/>
      <c r="AD23" s="6"/>
      <c r="AE23" s="6"/>
      <c r="AF23" s="6"/>
      <c r="AG23" s="13" t="s">
        <v>161</v>
      </c>
      <c r="AH23" s="5" t="s">
        <v>65</v>
      </c>
      <c r="AI23" s="5" t="s">
        <v>81</v>
      </c>
    </row>
    <row r="24" spans="1:35" x14ac:dyDescent="0.3">
      <c r="A24">
        <v>21</v>
      </c>
      <c r="B24" s="15">
        <f t="shared" si="1"/>
        <v>367.0006712328767</v>
      </c>
      <c r="C24" s="15">
        <f t="shared" si="0"/>
        <v>812.9993287671233</v>
      </c>
      <c r="D24" s="15">
        <f t="shared" si="10"/>
        <v>0</v>
      </c>
      <c r="E24" s="15">
        <f t="shared" si="11"/>
        <v>0.21232876712329052</v>
      </c>
      <c r="F24" s="15">
        <f t="shared" si="6"/>
        <v>0</v>
      </c>
      <c r="G24" s="15">
        <f t="shared" si="3"/>
        <v>21.499999999999989</v>
      </c>
      <c r="H24" s="15">
        <f t="shared" si="12"/>
        <v>0</v>
      </c>
      <c r="I24" s="15">
        <f t="shared" ref="I24:I35" si="15">I23-P23</f>
        <v>550</v>
      </c>
      <c r="J24" s="15">
        <f t="shared" si="14"/>
        <v>241.28700000000001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95</v>
      </c>
      <c r="R24" s="15" t="s">
        <v>53</v>
      </c>
      <c r="S24" s="15"/>
      <c r="T24" s="15">
        <v>8</v>
      </c>
      <c r="U24" s="15">
        <v>0</v>
      </c>
      <c r="V24" s="15">
        <f t="shared" si="4"/>
        <v>95</v>
      </c>
      <c r="W24" t="s">
        <v>72</v>
      </c>
      <c r="X24">
        <v>8</v>
      </c>
      <c r="Y24">
        <v>96</v>
      </c>
      <c r="AG24" s="5"/>
      <c r="AH24" s="5" t="s">
        <v>79</v>
      </c>
      <c r="AI24" s="5" t="s">
        <v>81</v>
      </c>
    </row>
    <row r="25" spans="1:35" x14ac:dyDescent="0.3">
      <c r="A25">
        <v>22</v>
      </c>
      <c r="B25" s="15">
        <f t="shared" si="1"/>
        <v>462.0006712328767</v>
      </c>
      <c r="C25" s="15">
        <f t="shared" si="0"/>
        <v>717.9993287671233</v>
      </c>
      <c r="D25" s="15">
        <f t="shared" si="10"/>
        <v>0</v>
      </c>
      <c r="E25" s="15">
        <f t="shared" si="11"/>
        <v>0.21232876712329052</v>
      </c>
      <c r="F25" s="15">
        <f t="shared" si="6"/>
        <v>0</v>
      </c>
      <c r="G25" s="15">
        <f t="shared" si="3"/>
        <v>21.499999999999989</v>
      </c>
      <c r="H25" s="15">
        <f t="shared" si="12"/>
        <v>0</v>
      </c>
      <c r="I25" s="15">
        <f t="shared" si="15"/>
        <v>550</v>
      </c>
      <c r="J25" s="15">
        <f t="shared" si="14"/>
        <v>146.28700000000001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95</v>
      </c>
      <c r="R25" s="15" t="s">
        <v>60</v>
      </c>
      <c r="S25" s="15"/>
      <c r="T25" s="15">
        <v>87</v>
      </c>
      <c r="U25" s="15">
        <v>0</v>
      </c>
      <c r="V25" s="15">
        <f t="shared" si="4"/>
        <v>95</v>
      </c>
      <c r="W25" t="s">
        <v>72</v>
      </c>
      <c r="X25">
        <v>87</v>
      </c>
      <c r="Y25">
        <v>87</v>
      </c>
      <c r="AG25" s="5"/>
      <c r="AH25" s="5" t="s">
        <v>58</v>
      </c>
      <c r="AI25" s="5" t="s">
        <v>81</v>
      </c>
    </row>
    <row r="26" spans="1:35" x14ac:dyDescent="0.3">
      <c r="A26">
        <v>23</v>
      </c>
      <c r="B26" s="15">
        <f t="shared" si="1"/>
        <v>557.0006712328767</v>
      </c>
      <c r="C26" s="15">
        <f t="shared" si="0"/>
        <v>622.9993287671233</v>
      </c>
      <c r="D26" s="15">
        <f t="shared" si="10"/>
        <v>0</v>
      </c>
      <c r="E26" s="15">
        <f t="shared" si="11"/>
        <v>0.21232876712329052</v>
      </c>
      <c r="F26" s="15">
        <f t="shared" si="6"/>
        <v>0</v>
      </c>
      <c r="G26" s="15">
        <f t="shared" si="3"/>
        <v>21.499999999999989</v>
      </c>
      <c r="H26" s="15">
        <f t="shared" si="12"/>
        <v>0</v>
      </c>
      <c r="I26" s="15">
        <f t="shared" si="15"/>
        <v>550</v>
      </c>
      <c r="J26" s="15">
        <f t="shared" si="14"/>
        <v>51.287000000000006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f>95-51.287</f>
        <v>43.713000000000001</v>
      </c>
      <c r="Q26" s="15">
        <v>51.286999999999999</v>
      </c>
      <c r="R26" s="15" t="s">
        <v>60</v>
      </c>
      <c r="S26" s="15"/>
      <c r="T26" s="15">
        <v>87</v>
      </c>
      <c r="U26" s="15">
        <v>0</v>
      </c>
      <c r="V26" s="15">
        <f t="shared" si="4"/>
        <v>95</v>
      </c>
      <c r="W26" t="s">
        <v>72</v>
      </c>
      <c r="X26">
        <v>87</v>
      </c>
      <c r="Y26">
        <v>87</v>
      </c>
      <c r="AH26" s="5" t="s">
        <v>58</v>
      </c>
      <c r="AI26" s="5" t="s">
        <v>83</v>
      </c>
    </row>
    <row r="27" spans="1:35" x14ac:dyDescent="0.3">
      <c r="A27">
        <v>24</v>
      </c>
      <c r="B27" s="15">
        <f t="shared" si="1"/>
        <v>652.0006712328767</v>
      </c>
      <c r="C27" s="15">
        <f t="shared" si="0"/>
        <v>527.9993287671233</v>
      </c>
      <c r="D27" s="15">
        <f t="shared" si="10"/>
        <v>0</v>
      </c>
      <c r="E27" s="15">
        <f t="shared" si="11"/>
        <v>0.21232876712329052</v>
      </c>
      <c r="F27" s="15">
        <f t="shared" si="6"/>
        <v>0</v>
      </c>
      <c r="G27" s="15">
        <f t="shared" si="3"/>
        <v>21.499999999999989</v>
      </c>
      <c r="H27" s="15">
        <f t="shared" si="12"/>
        <v>0</v>
      </c>
      <c r="I27" s="15">
        <f t="shared" si="15"/>
        <v>506.28699999999998</v>
      </c>
      <c r="J27" s="15">
        <f t="shared" si="14"/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95</v>
      </c>
      <c r="Q27" s="15">
        <v>0</v>
      </c>
      <c r="R27" s="15" t="s">
        <v>60</v>
      </c>
      <c r="S27" s="15"/>
      <c r="T27" s="15">
        <v>87</v>
      </c>
      <c r="U27" s="15">
        <v>0</v>
      </c>
      <c r="V27" s="15">
        <f t="shared" si="4"/>
        <v>95</v>
      </c>
      <c r="W27" t="s">
        <v>72</v>
      </c>
      <c r="X27">
        <v>87</v>
      </c>
      <c r="Y27">
        <v>87</v>
      </c>
      <c r="AH27" s="5" t="s">
        <v>58</v>
      </c>
      <c r="AI27" s="5" t="s">
        <v>82</v>
      </c>
    </row>
    <row r="28" spans="1:35" x14ac:dyDescent="0.3">
      <c r="A28">
        <v>25</v>
      </c>
      <c r="B28" s="15">
        <f t="shared" si="1"/>
        <v>747.00067123287681</v>
      </c>
      <c r="C28" s="15">
        <f t="shared" si="0"/>
        <v>432.99932876712325</v>
      </c>
      <c r="D28" s="15">
        <f t="shared" si="10"/>
        <v>0</v>
      </c>
      <c r="E28" s="15">
        <f t="shared" si="11"/>
        <v>0.21232876712329052</v>
      </c>
      <c r="F28" s="15">
        <f t="shared" si="6"/>
        <v>0</v>
      </c>
      <c r="G28" s="15">
        <f t="shared" si="3"/>
        <v>21.499999999999989</v>
      </c>
      <c r="H28" s="15">
        <f t="shared" si="12"/>
        <v>0</v>
      </c>
      <c r="I28" s="15">
        <f t="shared" si="15"/>
        <v>411.28699999999998</v>
      </c>
      <c r="J28" s="15">
        <f t="shared" si="14"/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95</v>
      </c>
      <c r="Q28" s="15">
        <v>0</v>
      </c>
      <c r="R28" s="15" t="s">
        <v>60</v>
      </c>
      <c r="S28" s="15"/>
      <c r="T28" s="15">
        <v>87</v>
      </c>
      <c r="U28" s="15">
        <v>0</v>
      </c>
      <c r="V28" s="15">
        <f t="shared" si="4"/>
        <v>95</v>
      </c>
      <c r="W28" t="s">
        <v>72</v>
      </c>
      <c r="X28">
        <v>87</v>
      </c>
      <c r="Y28">
        <v>87</v>
      </c>
      <c r="AH28" s="5" t="s">
        <v>63</v>
      </c>
      <c r="AI28" s="5" t="s">
        <v>58</v>
      </c>
    </row>
    <row r="29" spans="1:35" x14ac:dyDescent="0.3">
      <c r="A29">
        <v>26</v>
      </c>
      <c r="B29" s="15">
        <f t="shared" si="1"/>
        <v>842.00067123287681</v>
      </c>
      <c r="C29" s="15">
        <f t="shared" si="0"/>
        <v>337.99932876712325</v>
      </c>
      <c r="D29" s="15">
        <f t="shared" si="10"/>
        <v>0</v>
      </c>
      <c r="E29" s="15">
        <f t="shared" si="11"/>
        <v>0.21232876712329052</v>
      </c>
      <c r="F29" s="15">
        <f t="shared" si="6"/>
        <v>0</v>
      </c>
      <c r="G29" s="15">
        <f t="shared" si="3"/>
        <v>21.499999999999989</v>
      </c>
      <c r="H29" s="15">
        <f t="shared" si="12"/>
        <v>0</v>
      </c>
      <c r="I29" s="15">
        <f t="shared" si="15"/>
        <v>316.28699999999998</v>
      </c>
      <c r="J29" s="15">
        <f t="shared" si="14"/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95</v>
      </c>
      <c r="Q29" s="15">
        <v>0</v>
      </c>
      <c r="R29" s="15" t="s">
        <v>60</v>
      </c>
      <c r="S29" s="15"/>
      <c r="T29" s="15">
        <v>12</v>
      </c>
      <c r="U29" s="15">
        <v>0</v>
      </c>
      <c r="V29" s="15">
        <f t="shared" si="4"/>
        <v>95</v>
      </c>
      <c r="W29" t="s">
        <v>72</v>
      </c>
      <c r="X29">
        <v>12</v>
      </c>
      <c r="Y29">
        <v>87</v>
      </c>
      <c r="AH29" s="5" t="s">
        <v>63</v>
      </c>
      <c r="AI29" s="5" t="s">
        <v>58</v>
      </c>
    </row>
    <row r="30" spans="1:35" x14ac:dyDescent="0.3">
      <c r="A30">
        <v>27</v>
      </c>
      <c r="B30" s="15">
        <f t="shared" si="1"/>
        <v>937.00067123287681</v>
      </c>
      <c r="C30" s="15">
        <f t="shared" si="0"/>
        <v>242.99932876712325</v>
      </c>
      <c r="D30" s="15">
        <f t="shared" si="10"/>
        <v>0</v>
      </c>
      <c r="E30" s="15">
        <f t="shared" si="11"/>
        <v>0.21232876712329052</v>
      </c>
      <c r="F30" s="15">
        <f t="shared" si="6"/>
        <v>0</v>
      </c>
      <c r="G30" s="15">
        <f t="shared" si="3"/>
        <v>21.499999999999989</v>
      </c>
      <c r="H30" s="15">
        <f t="shared" si="12"/>
        <v>0</v>
      </c>
      <c r="I30" s="15">
        <f t="shared" si="15"/>
        <v>221.28699999999998</v>
      </c>
      <c r="J30" s="15">
        <f t="shared" si="14"/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95</v>
      </c>
      <c r="Q30" s="15">
        <v>0</v>
      </c>
      <c r="R30" s="15" t="s">
        <v>54</v>
      </c>
      <c r="S30" s="15"/>
      <c r="T30" s="15">
        <v>95</v>
      </c>
      <c r="U30" s="15">
        <v>0</v>
      </c>
      <c r="V30" s="15">
        <f t="shared" si="4"/>
        <v>95</v>
      </c>
      <c r="W30" t="s">
        <v>72</v>
      </c>
      <c r="X30">
        <v>95</v>
      </c>
      <c r="Y30">
        <v>95</v>
      </c>
      <c r="AH30" s="5" t="s">
        <v>71</v>
      </c>
      <c r="AI30" s="5" t="s">
        <v>58</v>
      </c>
    </row>
    <row r="31" spans="1:35" x14ac:dyDescent="0.3">
      <c r="A31">
        <v>28</v>
      </c>
      <c r="B31" s="15">
        <f t="shared" si="1"/>
        <v>1032.0006712328768</v>
      </c>
      <c r="C31" s="15">
        <f t="shared" si="0"/>
        <v>147.99932876712325</v>
      </c>
      <c r="D31" s="15">
        <f t="shared" si="10"/>
        <v>0</v>
      </c>
      <c r="E31" s="15">
        <f t="shared" si="11"/>
        <v>0.21232876712329052</v>
      </c>
      <c r="F31" s="15">
        <f t="shared" si="6"/>
        <v>0</v>
      </c>
      <c r="G31" s="15">
        <f t="shared" si="3"/>
        <v>21.499999999999989</v>
      </c>
      <c r="H31" s="15">
        <f t="shared" si="12"/>
        <v>0</v>
      </c>
      <c r="I31" s="15">
        <f t="shared" si="15"/>
        <v>126.28699999999998</v>
      </c>
      <c r="J31" s="15">
        <f t="shared" si="14"/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95</v>
      </c>
      <c r="Q31" s="15">
        <v>0</v>
      </c>
      <c r="R31" s="15" t="s">
        <v>54</v>
      </c>
      <c r="S31" s="15"/>
      <c r="T31" s="15">
        <v>55</v>
      </c>
      <c r="U31" s="15">
        <v>0</v>
      </c>
      <c r="V31" s="15">
        <f t="shared" si="4"/>
        <v>95</v>
      </c>
      <c r="W31" t="s">
        <v>72</v>
      </c>
      <c r="X31">
        <v>55</v>
      </c>
      <c r="Y31">
        <v>95</v>
      </c>
      <c r="AH31" s="5" t="s">
        <v>71</v>
      </c>
      <c r="AI31" s="5" t="s">
        <v>63</v>
      </c>
    </row>
    <row r="32" spans="1:35" x14ac:dyDescent="0.3">
      <c r="A32">
        <v>29</v>
      </c>
      <c r="B32" s="15">
        <f t="shared" si="1"/>
        <v>1127.0006712328768</v>
      </c>
      <c r="C32" s="15">
        <f t="shared" si="0"/>
        <v>52.999328767123259</v>
      </c>
      <c r="D32" s="15">
        <f t="shared" si="10"/>
        <v>0</v>
      </c>
      <c r="E32" s="15">
        <f t="shared" si="11"/>
        <v>0.21232876712329052</v>
      </c>
      <c r="F32" s="15">
        <f t="shared" si="6"/>
        <v>0</v>
      </c>
      <c r="G32" s="15">
        <f t="shared" si="3"/>
        <v>21.499999999999989</v>
      </c>
      <c r="H32" s="15">
        <f t="shared" si="12"/>
        <v>0</v>
      </c>
      <c r="I32" s="15">
        <f t="shared" si="15"/>
        <v>31.286999999999978</v>
      </c>
      <c r="J32" s="15">
        <f t="shared" si="14"/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31.286999999999999</v>
      </c>
      <c r="Q32" s="15">
        <f>95-P32</f>
        <v>63.713000000000001</v>
      </c>
      <c r="R32" s="15" t="s">
        <v>75</v>
      </c>
      <c r="S32" s="15"/>
      <c r="T32" s="15">
        <v>95</v>
      </c>
      <c r="U32" s="15">
        <v>0</v>
      </c>
      <c r="V32" s="15">
        <f t="shared" si="4"/>
        <v>95</v>
      </c>
      <c r="W32" t="s">
        <v>72</v>
      </c>
      <c r="X32">
        <v>95</v>
      </c>
      <c r="Y32">
        <v>95</v>
      </c>
      <c r="AH32" s="5" t="s">
        <v>71</v>
      </c>
      <c r="AI32" s="5" t="s">
        <v>63</v>
      </c>
    </row>
    <row r="33" spans="1:35" x14ac:dyDescent="0.3">
      <c r="A33" s="6">
        <v>30</v>
      </c>
      <c r="B33" s="16">
        <f t="shared" si="1"/>
        <v>592.0006712328767</v>
      </c>
      <c r="C33" s="16">
        <f t="shared" si="0"/>
        <v>587.9993287671233</v>
      </c>
      <c r="D33" s="16">
        <f t="shared" si="10"/>
        <v>0</v>
      </c>
      <c r="E33" s="16">
        <f t="shared" si="11"/>
        <v>0.21232876712329052</v>
      </c>
      <c r="F33" s="16">
        <f>F32-M32+150</f>
        <v>150</v>
      </c>
      <c r="G33" s="16">
        <f>G32-N32+200</f>
        <v>221.5</v>
      </c>
      <c r="H33" s="16">
        <f t="shared" si="12"/>
        <v>0</v>
      </c>
      <c r="I33" s="16">
        <f t="shared" si="15"/>
        <v>0</v>
      </c>
      <c r="J33" s="16">
        <f>J32-Q32+280</f>
        <v>216.28700000000001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95</v>
      </c>
      <c r="R33" s="16" t="s">
        <v>75</v>
      </c>
      <c r="S33" s="16"/>
      <c r="T33" s="16">
        <v>95</v>
      </c>
      <c r="U33" s="16">
        <v>0</v>
      </c>
      <c r="V33" s="16">
        <f t="shared" si="4"/>
        <v>95</v>
      </c>
      <c r="W33" s="6" t="s">
        <v>72</v>
      </c>
      <c r="X33" s="6">
        <v>95</v>
      </c>
      <c r="Y33" s="6">
        <v>95</v>
      </c>
      <c r="Z33" s="6"/>
      <c r="AA33" s="6"/>
      <c r="AB33" s="6"/>
      <c r="AC33" s="6"/>
      <c r="AD33" s="6"/>
      <c r="AE33" s="6"/>
      <c r="AF33" s="6"/>
      <c r="AG33" s="6"/>
      <c r="AH33" s="13" t="s">
        <v>162</v>
      </c>
      <c r="AI33" s="5" t="s">
        <v>71</v>
      </c>
    </row>
    <row r="34" spans="1:35" x14ac:dyDescent="0.3">
      <c r="A34">
        <v>31</v>
      </c>
      <c r="B34" s="15">
        <f t="shared" si="1"/>
        <v>687.0006712328767</v>
      </c>
      <c r="C34" s="15">
        <f t="shared" si="0"/>
        <v>492.9993287671233</v>
      </c>
      <c r="D34" s="15">
        <f t="shared" si="10"/>
        <v>0</v>
      </c>
      <c r="E34" s="15">
        <f t="shared" si="11"/>
        <v>0.21232876712329052</v>
      </c>
      <c r="F34" s="15">
        <f t="shared" ref="F34:F44" si="16">F33-M33</f>
        <v>150</v>
      </c>
      <c r="G34" s="15">
        <f t="shared" ref="G34:G44" si="17">G33-N33</f>
        <v>221.5</v>
      </c>
      <c r="H34" s="15">
        <f t="shared" si="12"/>
        <v>0</v>
      </c>
      <c r="I34" s="15">
        <f t="shared" si="15"/>
        <v>0</v>
      </c>
      <c r="J34" s="15">
        <f>J33-Q33</f>
        <v>121.28700000000001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95</v>
      </c>
      <c r="R34" s="15"/>
      <c r="S34" s="15"/>
      <c r="T34" s="15"/>
      <c r="U34" s="15"/>
      <c r="V34" s="15">
        <f t="shared" si="4"/>
        <v>95</v>
      </c>
      <c r="AH34" s="5"/>
      <c r="AI34" s="5" t="s">
        <v>71</v>
      </c>
    </row>
    <row r="35" spans="1:35" x14ac:dyDescent="0.3">
      <c r="A35">
        <v>32</v>
      </c>
      <c r="B35" s="15">
        <f t="shared" si="1"/>
        <v>782.0006712328767</v>
      </c>
      <c r="C35" s="15">
        <f t="shared" si="0"/>
        <v>397.9993287671233</v>
      </c>
      <c r="D35" s="15">
        <f t="shared" si="10"/>
        <v>0</v>
      </c>
      <c r="E35" s="15">
        <f t="shared" si="11"/>
        <v>0.21232876712329052</v>
      </c>
      <c r="F35" s="15">
        <f t="shared" si="16"/>
        <v>150</v>
      </c>
      <c r="G35" s="15">
        <f t="shared" si="17"/>
        <v>221.5</v>
      </c>
      <c r="H35" s="15">
        <f t="shared" si="12"/>
        <v>0</v>
      </c>
      <c r="I35" s="15">
        <f t="shared" si="15"/>
        <v>0</v>
      </c>
      <c r="J35" s="15">
        <f>J34-Q34</f>
        <v>26.287000000000006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/>
      <c r="S35" s="15"/>
      <c r="T35" s="15"/>
      <c r="U35" s="15"/>
      <c r="V35" s="15">
        <f t="shared" si="4"/>
        <v>0</v>
      </c>
      <c r="AI35" s="5" t="s">
        <v>71</v>
      </c>
    </row>
    <row r="36" spans="1:35" s="6" customFormat="1" x14ac:dyDescent="0.3">
      <c r="A36" s="6">
        <v>33</v>
      </c>
      <c r="B36" s="16">
        <f t="shared" si="1"/>
        <v>252.0006712328767</v>
      </c>
      <c r="C36" s="16">
        <f t="shared" si="0"/>
        <v>927.9993287671233</v>
      </c>
      <c r="D36" s="16">
        <f t="shared" si="10"/>
        <v>0</v>
      </c>
      <c r="E36" s="16">
        <f t="shared" si="11"/>
        <v>0.21232876712329052</v>
      </c>
      <c r="F36" s="16">
        <f t="shared" si="16"/>
        <v>150</v>
      </c>
      <c r="G36" s="16">
        <f t="shared" si="17"/>
        <v>221.5</v>
      </c>
      <c r="H36" s="16">
        <f>H35-O35+150</f>
        <v>150</v>
      </c>
      <c r="I36" s="16">
        <f>I35-P35+100</f>
        <v>100</v>
      </c>
      <c r="J36" s="16">
        <f>J35-Q35+280</f>
        <v>306.28700000000003</v>
      </c>
      <c r="K36" s="16">
        <v>69.349999999999994</v>
      </c>
      <c r="L36" s="16">
        <v>0</v>
      </c>
      <c r="M36" s="16">
        <v>0</v>
      </c>
      <c r="N36" s="16">
        <v>25.65</v>
      </c>
      <c r="O36" s="16">
        <v>0</v>
      </c>
      <c r="P36" s="16">
        <v>0</v>
      </c>
      <c r="Q36" s="16">
        <v>0</v>
      </c>
      <c r="R36" s="16"/>
      <c r="S36" s="16"/>
      <c r="T36" s="16"/>
      <c r="U36" s="16"/>
      <c r="V36" s="16">
        <f t="shared" si="4"/>
        <v>95</v>
      </c>
    </row>
    <row r="37" spans="1:35" x14ac:dyDescent="0.3">
      <c r="A37">
        <v>34</v>
      </c>
      <c r="B37" s="15">
        <f t="shared" si="1"/>
        <v>347.0006712328767</v>
      </c>
      <c r="C37" s="15">
        <f t="shared" si="0"/>
        <v>832.9993287671233</v>
      </c>
      <c r="D37" s="15">
        <f t="shared" si="10"/>
        <v>-69.349999999999994</v>
      </c>
      <c r="E37" s="15">
        <f t="shared" si="11"/>
        <v>0.21232876712329052</v>
      </c>
      <c r="F37" s="15">
        <f t="shared" si="16"/>
        <v>150</v>
      </c>
      <c r="G37" s="15">
        <f t="shared" si="17"/>
        <v>195.85</v>
      </c>
      <c r="H37" s="15">
        <f t="shared" ref="H37:J44" si="18">H36-O36</f>
        <v>150</v>
      </c>
      <c r="I37" s="15">
        <f t="shared" si="18"/>
        <v>100</v>
      </c>
      <c r="J37" s="15">
        <f t="shared" si="18"/>
        <v>306.28700000000003</v>
      </c>
      <c r="K37" s="15">
        <v>36.08</v>
      </c>
      <c r="L37" s="15">
        <v>0</v>
      </c>
      <c r="M37" s="15">
        <v>0</v>
      </c>
      <c r="N37" s="15">
        <f>(26.08/73)*27</f>
        <v>9.6460273972602746</v>
      </c>
      <c r="O37" s="15">
        <v>0</v>
      </c>
      <c r="P37" s="15">
        <f>95-45.726</f>
        <v>49.274000000000001</v>
      </c>
      <c r="Q37" s="15">
        <v>0</v>
      </c>
      <c r="R37" s="15"/>
      <c r="S37" s="15"/>
      <c r="T37" s="15"/>
      <c r="U37" s="15"/>
      <c r="V37" s="15">
        <f t="shared" si="4"/>
        <v>95.000027397260283</v>
      </c>
    </row>
    <row r="38" spans="1:35" x14ac:dyDescent="0.3">
      <c r="A38">
        <v>35</v>
      </c>
      <c r="B38" s="15">
        <f t="shared" si="1"/>
        <v>442.00069863013687</v>
      </c>
      <c r="C38" s="15">
        <f t="shared" si="0"/>
        <v>737.99930136986313</v>
      </c>
      <c r="D38" s="15">
        <f t="shared" si="10"/>
        <v>-105.42999999999999</v>
      </c>
      <c r="E38" s="15">
        <f t="shared" si="11"/>
        <v>0.21232876712329052</v>
      </c>
      <c r="F38" s="15">
        <f t="shared" si="16"/>
        <v>150</v>
      </c>
      <c r="G38" s="15">
        <f t="shared" si="17"/>
        <v>186.20397260273973</v>
      </c>
      <c r="H38" s="15">
        <f t="shared" si="18"/>
        <v>150</v>
      </c>
      <c r="I38" s="15">
        <f t="shared" si="18"/>
        <v>50.725999999999999</v>
      </c>
      <c r="J38" s="15">
        <f t="shared" si="18"/>
        <v>306.28700000000003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50.725999999999999</v>
      </c>
      <c r="Q38" s="15">
        <f>95-50.726</f>
        <v>44.274000000000001</v>
      </c>
      <c r="R38" s="15"/>
      <c r="S38" s="15"/>
      <c r="T38" s="15"/>
      <c r="U38" s="15"/>
      <c r="V38" s="15">
        <f t="shared" si="4"/>
        <v>95</v>
      </c>
    </row>
    <row r="39" spans="1:35" x14ac:dyDescent="0.3">
      <c r="A39">
        <v>36</v>
      </c>
      <c r="B39" s="15">
        <f t="shared" si="1"/>
        <v>537.00069863013687</v>
      </c>
      <c r="C39" s="15">
        <f t="shared" si="0"/>
        <v>642.99930136986313</v>
      </c>
      <c r="D39" s="15">
        <f t="shared" si="10"/>
        <v>-105.42999999999999</v>
      </c>
      <c r="E39" s="15">
        <f t="shared" si="11"/>
        <v>0.21232876712329052</v>
      </c>
      <c r="F39" s="15">
        <f t="shared" si="16"/>
        <v>150</v>
      </c>
      <c r="G39" s="15">
        <f t="shared" si="17"/>
        <v>186.20397260273973</v>
      </c>
      <c r="H39" s="15">
        <f t="shared" si="18"/>
        <v>150</v>
      </c>
      <c r="I39" s="15">
        <f t="shared" si="18"/>
        <v>0</v>
      </c>
      <c r="J39" s="15">
        <f t="shared" si="18"/>
        <v>262.01300000000003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95</v>
      </c>
      <c r="R39" s="15"/>
      <c r="S39" s="15"/>
      <c r="T39" s="15"/>
      <c r="U39" s="15"/>
      <c r="V39" s="15">
        <f t="shared" si="4"/>
        <v>95</v>
      </c>
    </row>
    <row r="40" spans="1:35" x14ac:dyDescent="0.3">
      <c r="A40">
        <v>37</v>
      </c>
      <c r="B40" s="15">
        <f t="shared" si="1"/>
        <v>632.00069863013687</v>
      </c>
      <c r="C40" s="15">
        <f t="shared" si="0"/>
        <v>547.99930136986313</v>
      </c>
      <c r="D40" s="15">
        <f t="shared" si="10"/>
        <v>-105.42999999999999</v>
      </c>
      <c r="E40" s="15">
        <f t="shared" si="11"/>
        <v>0.21232876712329052</v>
      </c>
      <c r="F40" s="15">
        <f t="shared" si="16"/>
        <v>150</v>
      </c>
      <c r="G40" s="15">
        <f t="shared" si="17"/>
        <v>186.20397260273973</v>
      </c>
      <c r="H40" s="15">
        <f t="shared" si="18"/>
        <v>150</v>
      </c>
      <c r="I40" s="15">
        <f t="shared" si="18"/>
        <v>0</v>
      </c>
      <c r="J40" s="15">
        <f t="shared" si="18"/>
        <v>167.01300000000003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95</v>
      </c>
      <c r="R40" s="15"/>
      <c r="S40" s="15"/>
      <c r="T40" s="15"/>
      <c r="U40" s="15"/>
      <c r="V40" s="15">
        <f t="shared" si="4"/>
        <v>95</v>
      </c>
    </row>
    <row r="41" spans="1:35" x14ac:dyDescent="0.3">
      <c r="A41">
        <v>38</v>
      </c>
      <c r="B41" s="15">
        <f t="shared" si="1"/>
        <v>727.00069863013687</v>
      </c>
      <c r="C41" s="15">
        <f t="shared" si="0"/>
        <v>452.99930136986308</v>
      </c>
      <c r="D41" s="15">
        <f t="shared" si="10"/>
        <v>-105.42999999999999</v>
      </c>
      <c r="E41" s="15">
        <f t="shared" si="11"/>
        <v>0.21232876712329052</v>
      </c>
      <c r="F41" s="15">
        <f t="shared" si="16"/>
        <v>150</v>
      </c>
      <c r="G41" s="15">
        <f t="shared" si="17"/>
        <v>186.20397260273973</v>
      </c>
      <c r="H41" s="15">
        <f t="shared" si="18"/>
        <v>150</v>
      </c>
      <c r="I41" s="15">
        <f t="shared" si="18"/>
        <v>0</v>
      </c>
      <c r="J41" s="15">
        <f t="shared" si="18"/>
        <v>72.013000000000034</v>
      </c>
      <c r="K41" s="15">
        <v>0</v>
      </c>
      <c r="L41" s="15">
        <v>0</v>
      </c>
      <c r="M41" s="15">
        <f>(95-45.726)*0.6</f>
        <v>29.564399999999999</v>
      </c>
      <c r="N41" s="15">
        <v>0</v>
      </c>
      <c r="O41" s="15">
        <f>(95-45.726)*0.4</f>
        <v>19.709600000000002</v>
      </c>
      <c r="P41" s="15">
        <v>0</v>
      </c>
      <c r="Q41" s="15">
        <v>45.725999999999999</v>
      </c>
      <c r="R41" s="15"/>
      <c r="S41" s="15"/>
      <c r="T41" s="15"/>
      <c r="U41" s="15"/>
      <c r="V41" s="15">
        <f t="shared" si="4"/>
        <v>95</v>
      </c>
    </row>
    <row r="42" spans="1:35" x14ac:dyDescent="0.3">
      <c r="A42">
        <v>39</v>
      </c>
      <c r="B42" s="15">
        <f t="shared" si="1"/>
        <v>822.00069863013698</v>
      </c>
      <c r="C42" s="15">
        <f t="shared" si="0"/>
        <v>357.99930136986302</v>
      </c>
      <c r="D42" s="15">
        <f t="shared" si="10"/>
        <v>-105.42999999999999</v>
      </c>
      <c r="E42" s="15">
        <f t="shared" si="11"/>
        <v>0.21232876712329052</v>
      </c>
      <c r="F42" s="15">
        <f t="shared" si="16"/>
        <v>120.43559999999999</v>
      </c>
      <c r="G42" s="15">
        <f t="shared" si="17"/>
        <v>186.20397260273973</v>
      </c>
      <c r="H42" s="15">
        <f t="shared" si="18"/>
        <v>130.29040000000001</v>
      </c>
      <c r="I42" s="15">
        <f t="shared" si="18"/>
        <v>0</v>
      </c>
      <c r="J42" s="15">
        <f t="shared" si="18"/>
        <v>26.287000000000035</v>
      </c>
      <c r="K42" s="15">
        <v>0</v>
      </c>
      <c r="L42" s="15">
        <v>0</v>
      </c>
      <c r="M42" s="15">
        <v>57.6</v>
      </c>
      <c r="N42" s="15">
        <v>0</v>
      </c>
      <c r="O42" s="15">
        <v>38.4</v>
      </c>
      <c r="P42" s="15">
        <v>0</v>
      </c>
      <c r="Q42" s="15">
        <v>0</v>
      </c>
      <c r="R42" s="15"/>
      <c r="S42" s="15"/>
      <c r="T42" s="15"/>
      <c r="U42" s="15"/>
      <c r="V42" s="15">
        <f t="shared" si="4"/>
        <v>96</v>
      </c>
    </row>
    <row r="43" spans="1:35" x14ac:dyDescent="0.3">
      <c r="A43">
        <v>40</v>
      </c>
      <c r="B43" s="15">
        <f t="shared" si="1"/>
        <v>918.00069863013698</v>
      </c>
      <c r="C43" s="15">
        <f t="shared" si="0"/>
        <v>261.99930136986302</v>
      </c>
      <c r="D43" s="15">
        <f t="shared" si="10"/>
        <v>-105.42999999999999</v>
      </c>
      <c r="E43" s="15">
        <f t="shared" si="11"/>
        <v>0.21232876712329052</v>
      </c>
      <c r="F43" s="15">
        <f t="shared" si="16"/>
        <v>62.835599999999992</v>
      </c>
      <c r="G43" s="15">
        <f t="shared" si="17"/>
        <v>186.20397260273973</v>
      </c>
      <c r="H43" s="15">
        <f t="shared" si="18"/>
        <v>91.8904</v>
      </c>
      <c r="I43" s="15">
        <f t="shared" si="18"/>
        <v>0</v>
      </c>
      <c r="J43" s="15">
        <f t="shared" si="18"/>
        <v>26.287000000000035</v>
      </c>
      <c r="K43" s="15">
        <v>0</v>
      </c>
      <c r="L43" s="15">
        <v>0</v>
      </c>
      <c r="M43" s="15">
        <v>57.6</v>
      </c>
      <c r="N43" s="15">
        <v>0</v>
      </c>
      <c r="O43" s="15">
        <v>38.4</v>
      </c>
      <c r="P43" s="15">
        <v>0</v>
      </c>
      <c r="Q43" s="15">
        <v>0</v>
      </c>
      <c r="R43" s="15"/>
      <c r="S43" s="15"/>
      <c r="T43" s="15"/>
      <c r="U43" s="15"/>
      <c r="V43" s="15">
        <f t="shared" si="4"/>
        <v>96</v>
      </c>
    </row>
    <row r="44" spans="1:35" x14ac:dyDescent="0.3">
      <c r="A44">
        <v>41</v>
      </c>
      <c r="B44" s="15">
        <f t="shared" si="1"/>
        <v>1014.000698630137</v>
      </c>
      <c r="C44" s="15">
        <f t="shared" si="0"/>
        <v>165.99930136986305</v>
      </c>
      <c r="D44" s="15">
        <f t="shared" si="10"/>
        <v>-105.42999999999999</v>
      </c>
      <c r="E44" s="15">
        <f t="shared" si="11"/>
        <v>0.21232876712329052</v>
      </c>
      <c r="F44" s="15">
        <f t="shared" si="16"/>
        <v>5.2355999999999909</v>
      </c>
      <c r="G44" s="15">
        <f t="shared" si="17"/>
        <v>186.20397260273973</v>
      </c>
      <c r="H44" s="15">
        <f t="shared" si="18"/>
        <v>53.490400000000001</v>
      </c>
      <c r="I44" s="15">
        <f t="shared" si="18"/>
        <v>0</v>
      </c>
      <c r="J44">
        <f t="shared" si="18"/>
        <v>26.287000000000035</v>
      </c>
      <c r="Q44" t="s">
        <v>86</v>
      </c>
      <c r="V44" s="4">
        <f>AVERAGE(V4:V33)</f>
        <v>95.233355707762556</v>
      </c>
    </row>
    <row r="45" spans="1:35" x14ac:dyDescent="0.3">
      <c r="Q45" t="s">
        <v>88</v>
      </c>
      <c r="V45" s="4">
        <f>AVERAGE(V4:V43)</f>
        <v>92.850017465753425</v>
      </c>
    </row>
    <row r="46" spans="1:35" x14ac:dyDescent="0.3">
      <c r="I46">
        <f>21.5/2.7*69.3</f>
        <v>551.83333333333326</v>
      </c>
    </row>
    <row r="47" spans="1:35" x14ac:dyDescent="0.3">
      <c r="Q47" t="s">
        <v>89</v>
      </c>
      <c r="V47">
        <f>SUM(V4:V43)</f>
        <v>3714.0006986301369</v>
      </c>
    </row>
    <row r="48" spans="1:35" x14ac:dyDescent="0.3">
      <c r="Q48" t="s">
        <v>91</v>
      </c>
      <c r="V48">
        <f>C3</f>
        <v>1050</v>
      </c>
    </row>
    <row r="49" spans="17:31" x14ac:dyDescent="0.3">
      <c r="Q49" t="s">
        <v>92</v>
      </c>
      <c r="V49">
        <v>2910</v>
      </c>
    </row>
    <row r="50" spans="17:31" x14ac:dyDescent="0.3">
      <c r="Q50" t="s">
        <v>93</v>
      </c>
      <c r="V50">
        <f>C44</f>
        <v>165.99930136986305</v>
      </c>
      <c r="AE50">
        <f>V48+V49</f>
        <v>3960</v>
      </c>
    </row>
    <row r="51" spans="17:31" x14ac:dyDescent="0.3">
      <c r="AE51">
        <f>AE50-V47</f>
        <v>245.99930136986313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CAF5-9083-441A-9C28-1DA6EBC0A8F3}">
  <dimension ref="A1:AE31"/>
  <sheetViews>
    <sheetView workbookViewId="0">
      <selection activeCell="A28" sqref="A28"/>
    </sheetView>
  </sheetViews>
  <sheetFormatPr defaultRowHeight="14.4" x14ac:dyDescent="0.3"/>
  <cols>
    <col min="2" max="2" width="12" bestFit="1" customWidth="1"/>
    <col min="3" max="3" width="14.33203125" bestFit="1" customWidth="1"/>
    <col min="4" max="4" width="11.44140625" bestFit="1" customWidth="1"/>
    <col min="5" max="6" width="12" bestFit="1" customWidth="1"/>
    <col min="7" max="7" width="11.44140625" bestFit="1" customWidth="1"/>
    <col min="8" max="8" width="11.33203125" bestFit="1" customWidth="1"/>
    <col min="9" max="9" width="11.109375" bestFit="1" customWidth="1"/>
    <col min="10" max="16" width="15.6640625" customWidth="1"/>
    <col min="17" max="20" width="15.6640625" hidden="1" customWidth="1"/>
    <col min="21" max="21" width="23.6640625" customWidth="1"/>
    <col min="22" max="24" width="15.6640625" customWidth="1"/>
    <col min="25" max="25" width="23.6640625" customWidth="1"/>
    <col min="30" max="30" width="20" customWidth="1"/>
    <col min="31" max="31" width="28.5546875" customWidth="1"/>
  </cols>
  <sheetData>
    <row r="1" spans="1:31" x14ac:dyDescent="0.3">
      <c r="A1" s="1" t="s">
        <v>16</v>
      </c>
      <c r="B1" s="1" t="s">
        <v>163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92</v>
      </c>
      <c r="AE1" s="2" t="s">
        <v>164</v>
      </c>
    </row>
    <row r="2" spans="1:31" x14ac:dyDescent="0.3">
      <c r="A2">
        <v>1</v>
      </c>
      <c r="B2">
        <v>954</v>
      </c>
      <c r="C2">
        <v>350</v>
      </c>
      <c r="D2">
        <v>0</v>
      </c>
      <c r="E2">
        <v>150</v>
      </c>
      <c r="F2">
        <v>92.4</v>
      </c>
      <c r="G2">
        <v>61.6</v>
      </c>
      <c r="H2">
        <v>0</v>
      </c>
      <c r="I2">
        <v>300</v>
      </c>
      <c r="J2">
        <v>0</v>
      </c>
      <c r="K2">
        <v>0</v>
      </c>
      <c r="L2">
        <v>0</v>
      </c>
      <c r="M2">
        <v>57.599999999999987</v>
      </c>
      <c r="N2">
        <v>38.4</v>
      </c>
      <c r="O2">
        <v>0</v>
      </c>
      <c r="P2">
        <v>0</v>
      </c>
      <c r="Q2" t="s">
        <v>53</v>
      </c>
      <c r="R2" t="s">
        <v>54</v>
      </c>
      <c r="S2">
        <v>57.599999999999987</v>
      </c>
      <c r="T2">
        <v>38.4</v>
      </c>
      <c r="U2">
        <v>96</v>
      </c>
      <c r="V2" t="s">
        <v>55</v>
      </c>
      <c r="W2">
        <v>96</v>
      </c>
      <c r="X2">
        <v>96</v>
      </c>
    </row>
    <row r="3" spans="1:31" x14ac:dyDescent="0.3">
      <c r="A3">
        <v>2</v>
      </c>
      <c r="B3">
        <v>858</v>
      </c>
      <c r="C3">
        <v>350</v>
      </c>
      <c r="D3">
        <v>0</v>
      </c>
      <c r="E3">
        <v>150</v>
      </c>
      <c r="F3">
        <v>34.800000000000011</v>
      </c>
      <c r="G3">
        <v>23.2</v>
      </c>
      <c r="H3">
        <v>0</v>
      </c>
      <c r="I3">
        <v>300</v>
      </c>
      <c r="J3">
        <v>0</v>
      </c>
      <c r="K3">
        <v>0</v>
      </c>
      <c r="L3">
        <v>0</v>
      </c>
      <c r="M3">
        <v>57.599999999999987</v>
      </c>
      <c r="N3">
        <v>38.4</v>
      </c>
      <c r="O3">
        <v>0</v>
      </c>
      <c r="P3">
        <v>0</v>
      </c>
      <c r="Q3" t="s">
        <v>53</v>
      </c>
      <c r="R3" t="s">
        <v>54</v>
      </c>
      <c r="S3">
        <v>57.599999999999987</v>
      </c>
      <c r="T3">
        <v>38.4</v>
      </c>
      <c r="U3">
        <v>96</v>
      </c>
      <c r="V3" t="s">
        <v>55</v>
      </c>
      <c r="W3">
        <v>96</v>
      </c>
      <c r="X3">
        <v>96</v>
      </c>
    </row>
    <row r="4" spans="1:31" s="3" customFormat="1" x14ac:dyDescent="0.3">
      <c r="A4" s="3">
        <v>3</v>
      </c>
      <c r="B4" s="3">
        <v>800</v>
      </c>
      <c r="C4" s="3">
        <v>350</v>
      </c>
      <c r="D4" s="3">
        <v>0</v>
      </c>
      <c r="E4" s="3">
        <v>150</v>
      </c>
      <c r="F4" s="3">
        <v>7.1054273576010019E-15</v>
      </c>
      <c r="G4" s="3">
        <v>0</v>
      </c>
      <c r="H4" s="3">
        <v>0</v>
      </c>
      <c r="I4" s="3">
        <v>300</v>
      </c>
      <c r="J4" s="3">
        <v>0</v>
      </c>
      <c r="K4" s="3">
        <v>0</v>
      </c>
      <c r="L4" s="3">
        <v>0</v>
      </c>
      <c r="M4" s="3">
        <v>34.799999999999997</v>
      </c>
      <c r="N4" s="3">
        <v>23.2</v>
      </c>
      <c r="O4" s="3">
        <v>0</v>
      </c>
      <c r="P4" s="3">
        <v>0</v>
      </c>
      <c r="Q4" s="3" t="s">
        <v>53</v>
      </c>
      <c r="R4" s="3" t="s">
        <v>54</v>
      </c>
      <c r="S4" s="3">
        <v>34.799999999999997</v>
      </c>
      <c r="T4" s="3">
        <v>23.2</v>
      </c>
      <c r="U4" s="3">
        <v>58.000000000000007</v>
      </c>
      <c r="V4" s="3" t="s">
        <v>55</v>
      </c>
      <c r="W4" s="3">
        <v>58.000000000000007</v>
      </c>
      <c r="X4" s="3">
        <v>96</v>
      </c>
      <c r="AE4" s="3" t="s">
        <v>165</v>
      </c>
    </row>
    <row r="5" spans="1:31" x14ac:dyDescent="0.3">
      <c r="A5">
        <v>4</v>
      </c>
      <c r="B5">
        <v>705</v>
      </c>
      <c r="C5">
        <v>280.64999999999998</v>
      </c>
      <c r="D5">
        <v>0</v>
      </c>
      <c r="E5">
        <v>124.35</v>
      </c>
      <c r="F5">
        <v>7.1054273576010019E-15</v>
      </c>
      <c r="G5">
        <v>0</v>
      </c>
      <c r="H5">
        <v>0</v>
      </c>
      <c r="I5">
        <v>300</v>
      </c>
      <c r="J5">
        <v>69.349999999999994</v>
      </c>
      <c r="K5">
        <v>0</v>
      </c>
      <c r="L5">
        <v>25.65</v>
      </c>
      <c r="M5">
        <v>0</v>
      </c>
      <c r="N5">
        <v>0</v>
      </c>
      <c r="O5">
        <v>0</v>
      </c>
      <c r="P5">
        <v>0</v>
      </c>
      <c r="Q5" t="s">
        <v>59</v>
      </c>
      <c r="R5" t="s">
        <v>60</v>
      </c>
      <c r="S5">
        <v>25.65</v>
      </c>
      <c r="T5">
        <v>69.349999999999994</v>
      </c>
      <c r="U5">
        <v>95</v>
      </c>
      <c r="V5" t="s">
        <v>61</v>
      </c>
      <c r="W5">
        <v>95</v>
      </c>
      <c r="X5">
        <v>95</v>
      </c>
    </row>
    <row r="6" spans="1:31" x14ac:dyDescent="0.3">
      <c r="A6">
        <v>5</v>
      </c>
      <c r="B6">
        <v>1159</v>
      </c>
      <c r="C6">
        <v>610.56999999999994</v>
      </c>
      <c r="D6">
        <v>124.08</v>
      </c>
      <c r="E6">
        <v>124.35</v>
      </c>
      <c r="F6">
        <v>7.1054273576010019E-15</v>
      </c>
      <c r="G6">
        <v>0</v>
      </c>
      <c r="H6">
        <v>0</v>
      </c>
      <c r="I6">
        <v>300</v>
      </c>
      <c r="J6">
        <v>70.08</v>
      </c>
      <c r="K6">
        <v>25.92</v>
      </c>
      <c r="L6">
        <v>0</v>
      </c>
      <c r="M6">
        <v>0</v>
      </c>
      <c r="N6">
        <v>0</v>
      </c>
      <c r="O6">
        <v>0</v>
      </c>
      <c r="P6">
        <v>0</v>
      </c>
      <c r="Q6" t="s">
        <v>62</v>
      </c>
      <c r="R6" t="s">
        <v>60</v>
      </c>
      <c r="S6">
        <v>25.92</v>
      </c>
      <c r="T6">
        <v>70.08</v>
      </c>
      <c r="U6">
        <v>96</v>
      </c>
      <c r="V6" t="s">
        <v>61</v>
      </c>
      <c r="W6">
        <v>96</v>
      </c>
      <c r="X6">
        <v>96</v>
      </c>
      <c r="AD6" t="s">
        <v>166</v>
      </c>
    </row>
    <row r="7" spans="1:31" x14ac:dyDescent="0.3">
      <c r="A7">
        <v>6</v>
      </c>
      <c r="B7">
        <v>1063</v>
      </c>
      <c r="C7">
        <v>540.4899999999999</v>
      </c>
      <c r="D7">
        <v>98.16</v>
      </c>
      <c r="E7">
        <v>124.35</v>
      </c>
      <c r="F7">
        <v>7.1054273576010019E-15</v>
      </c>
      <c r="G7">
        <v>0</v>
      </c>
      <c r="H7">
        <v>0</v>
      </c>
      <c r="I7">
        <v>300</v>
      </c>
      <c r="J7">
        <v>70.08</v>
      </c>
      <c r="K7">
        <v>25.92</v>
      </c>
      <c r="L7">
        <v>0</v>
      </c>
      <c r="M7">
        <v>0</v>
      </c>
      <c r="N7">
        <v>0</v>
      </c>
      <c r="O7">
        <v>0</v>
      </c>
      <c r="P7">
        <v>0</v>
      </c>
      <c r="Q7" t="s">
        <v>62</v>
      </c>
      <c r="R7" t="s">
        <v>60</v>
      </c>
      <c r="S7">
        <v>25.92</v>
      </c>
      <c r="T7">
        <v>70.08</v>
      </c>
      <c r="U7">
        <v>96</v>
      </c>
      <c r="V7" t="s">
        <v>61</v>
      </c>
      <c r="W7">
        <v>96</v>
      </c>
      <c r="X7">
        <v>96</v>
      </c>
    </row>
    <row r="8" spans="1:31" x14ac:dyDescent="0.3">
      <c r="A8">
        <v>7</v>
      </c>
      <c r="B8">
        <v>966.99999999999989</v>
      </c>
      <c r="C8">
        <v>470.40999999999991</v>
      </c>
      <c r="D8">
        <v>72.239999999999995</v>
      </c>
      <c r="E8">
        <v>124.35</v>
      </c>
      <c r="F8">
        <v>7.1054273576010019E-15</v>
      </c>
      <c r="G8">
        <v>0</v>
      </c>
      <c r="H8">
        <v>0</v>
      </c>
      <c r="I8">
        <v>300</v>
      </c>
      <c r="J8">
        <v>70.08</v>
      </c>
      <c r="K8">
        <v>25.92</v>
      </c>
      <c r="L8">
        <v>0</v>
      </c>
      <c r="M8">
        <v>0</v>
      </c>
      <c r="N8">
        <v>0</v>
      </c>
      <c r="O8">
        <v>0</v>
      </c>
      <c r="P8">
        <v>0</v>
      </c>
      <c r="Q8" t="s">
        <v>62</v>
      </c>
      <c r="R8" t="s">
        <v>60</v>
      </c>
      <c r="S8">
        <v>25.92</v>
      </c>
      <c r="T8">
        <v>70.08</v>
      </c>
      <c r="U8">
        <v>96</v>
      </c>
      <c r="V8" t="s">
        <v>61</v>
      </c>
      <c r="W8">
        <v>96</v>
      </c>
      <c r="X8">
        <v>96</v>
      </c>
    </row>
    <row r="9" spans="1:31" x14ac:dyDescent="0.3">
      <c r="A9">
        <v>8</v>
      </c>
      <c r="B9">
        <v>870.99999999999989</v>
      </c>
      <c r="C9">
        <v>400.32999999999993</v>
      </c>
      <c r="D9">
        <v>46.319999999999993</v>
      </c>
      <c r="E9">
        <v>124.35</v>
      </c>
      <c r="F9">
        <v>7.1054273576010019E-15</v>
      </c>
      <c r="G9">
        <v>0</v>
      </c>
      <c r="H9">
        <v>0</v>
      </c>
      <c r="I9">
        <v>300</v>
      </c>
      <c r="J9">
        <v>70.08</v>
      </c>
      <c r="K9">
        <v>25.92</v>
      </c>
      <c r="L9">
        <v>0</v>
      </c>
      <c r="M9">
        <v>0</v>
      </c>
      <c r="N9">
        <v>0</v>
      </c>
      <c r="O9">
        <v>0</v>
      </c>
      <c r="P9">
        <v>0</v>
      </c>
      <c r="Q9" t="s">
        <v>62</v>
      </c>
      <c r="R9" t="s">
        <v>60</v>
      </c>
      <c r="S9">
        <v>25.92</v>
      </c>
      <c r="T9">
        <v>70.08</v>
      </c>
      <c r="U9">
        <v>96</v>
      </c>
      <c r="V9" t="s">
        <v>61</v>
      </c>
      <c r="W9">
        <v>96</v>
      </c>
      <c r="X9">
        <v>96</v>
      </c>
    </row>
    <row r="10" spans="1:31" x14ac:dyDescent="0.3">
      <c r="A10">
        <v>9</v>
      </c>
      <c r="B10">
        <v>1345</v>
      </c>
      <c r="C10">
        <v>330.24999999999989</v>
      </c>
      <c r="D10">
        <v>20.399999999999991</v>
      </c>
      <c r="E10">
        <v>124.35</v>
      </c>
      <c r="F10">
        <v>7.1054273576010019E-15</v>
      </c>
      <c r="G10">
        <v>0</v>
      </c>
      <c r="H10">
        <v>250</v>
      </c>
      <c r="I10">
        <v>620</v>
      </c>
      <c r="J10">
        <v>70.08</v>
      </c>
      <c r="K10">
        <v>25.92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62</v>
      </c>
      <c r="R10" t="s">
        <v>60</v>
      </c>
      <c r="S10">
        <v>25.92</v>
      </c>
      <c r="T10">
        <v>70.08</v>
      </c>
      <c r="U10">
        <v>96</v>
      </c>
      <c r="V10" t="s">
        <v>61</v>
      </c>
      <c r="W10">
        <v>96</v>
      </c>
      <c r="X10">
        <v>96</v>
      </c>
      <c r="AD10" t="s">
        <v>167</v>
      </c>
    </row>
    <row r="11" spans="1:31" x14ac:dyDescent="0.3">
      <c r="A11">
        <v>10</v>
      </c>
      <c r="B11">
        <v>1269.4444444444439</v>
      </c>
      <c r="C11">
        <v>275.09444444444438</v>
      </c>
      <c r="D11">
        <v>0</v>
      </c>
      <c r="E11">
        <v>124.35</v>
      </c>
      <c r="F11">
        <v>7.1054273576010019E-15</v>
      </c>
      <c r="G11">
        <v>0</v>
      </c>
      <c r="H11">
        <v>250</v>
      </c>
      <c r="I11">
        <v>620</v>
      </c>
      <c r="J11">
        <v>55.15555555555553</v>
      </c>
      <c r="K11">
        <v>20.399999999999991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62</v>
      </c>
      <c r="R11" t="s">
        <v>60</v>
      </c>
      <c r="S11">
        <v>20.399999999999991</v>
      </c>
      <c r="T11">
        <v>55.15555555555553</v>
      </c>
      <c r="U11">
        <v>75.555555555555515</v>
      </c>
      <c r="V11" t="s">
        <v>61</v>
      </c>
      <c r="W11">
        <v>75.555555555555515</v>
      </c>
      <c r="X11">
        <v>96</v>
      </c>
    </row>
    <row r="12" spans="1:31" x14ac:dyDescent="0.3">
      <c r="A12">
        <v>11</v>
      </c>
      <c r="B12">
        <v>1174.4444444444439</v>
      </c>
      <c r="C12">
        <v>205.74444444444441</v>
      </c>
      <c r="D12">
        <v>0</v>
      </c>
      <c r="E12">
        <v>98.699999999999989</v>
      </c>
      <c r="F12">
        <v>7.1054273576010019E-15</v>
      </c>
      <c r="G12">
        <v>0</v>
      </c>
      <c r="H12">
        <v>250</v>
      </c>
      <c r="I12">
        <v>620</v>
      </c>
      <c r="J12">
        <v>69.349999999999994</v>
      </c>
      <c r="K12">
        <v>0</v>
      </c>
      <c r="L12">
        <v>25.65</v>
      </c>
      <c r="M12">
        <v>0</v>
      </c>
      <c r="N12">
        <v>0</v>
      </c>
      <c r="O12">
        <v>0</v>
      </c>
      <c r="P12">
        <v>0</v>
      </c>
      <c r="Q12" t="s">
        <v>59</v>
      </c>
      <c r="R12" t="s">
        <v>60</v>
      </c>
      <c r="S12">
        <v>25.65</v>
      </c>
      <c r="T12">
        <v>69.349999999999994</v>
      </c>
      <c r="U12">
        <v>95</v>
      </c>
      <c r="V12" t="s">
        <v>61</v>
      </c>
      <c r="W12">
        <v>95</v>
      </c>
      <c r="X12">
        <v>95</v>
      </c>
    </row>
    <row r="13" spans="1:31" x14ac:dyDescent="0.3">
      <c r="A13">
        <v>12</v>
      </c>
      <c r="B13">
        <v>1079.4444444444439</v>
      </c>
      <c r="C13">
        <v>136.39444444444439</v>
      </c>
      <c r="D13">
        <v>0</v>
      </c>
      <c r="E13">
        <v>73.049999999999983</v>
      </c>
      <c r="F13">
        <v>7.1054273576010019E-15</v>
      </c>
      <c r="G13">
        <v>0</v>
      </c>
      <c r="H13">
        <v>250</v>
      </c>
      <c r="I13">
        <v>620</v>
      </c>
      <c r="J13">
        <v>69.349999999999994</v>
      </c>
      <c r="K13">
        <v>0</v>
      </c>
      <c r="L13">
        <v>25.65</v>
      </c>
      <c r="M13">
        <v>0</v>
      </c>
      <c r="N13">
        <v>0</v>
      </c>
      <c r="O13">
        <v>0</v>
      </c>
      <c r="P13">
        <v>0</v>
      </c>
      <c r="Q13" t="s">
        <v>59</v>
      </c>
      <c r="R13" t="s">
        <v>60</v>
      </c>
      <c r="S13">
        <v>25.65</v>
      </c>
      <c r="T13">
        <v>69.349999999999994</v>
      </c>
      <c r="U13">
        <v>95</v>
      </c>
      <c r="V13" t="s">
        <v>61</v>
      </c>
      <c r="W13">
        <v>95</v>
      </c>
      <c r="X13">
        <v>95</v>
      </c>
    </row>
    <row r="14" spans="1:31" x14ac:dyDescent="0.3">
      <c r="A14">
        <v>13</v>
      </c>
      <c r="B14">
        <v>984.44444444444446</v>
      </c>
      <c r="C14">
        <v>67.044444444444451</v>
      </c>
      <c r="D14">
        <v>0</v>
      </c>
      <c r="E14">
        <v>47.399999999999977</v>
      </c>
      <c r="F14">
        <v>7.1054273576010019E-15</v>
      </c>
      <c r="G14">
        <v>0</v>
      </c>
      <c r="H14">
        <v>250</v>
      </c>
      <c r="I14">
        <v>620</v>
      </c>
      <c r="J14">
        <v>69.349999999999994</v>
      </c>
      <c r="K14">
        <v>0</v>
      </c>
      <c r="L14">
        <v>25.65</v>
      </c>
      <c r="M14">
        <v>0</v>
      </c>
      <c r="N14">
        <v>0</v>
      </c>
      <c r="O14">
        <v>0</v>
      </c>
      <c r="P14">
        <v>0</v>
      </c>
      <c r="Q14" t="s">
        <v>59</v>
      </c>
      <c r="R14" t="s">
        <v>60</v>
      </c>
      <c r="S14">
        <v>25.65</v>
      </c>
      <c r="T14">
        <v>69.349999999999994</v>
      </c>
      <c r="U14">
        <v>95</v>
      </c>
      <c r="V14" t="s">
        <v>61</v>
      </c>
      <c r="W14">
        <v>95</v>
      </c>
      <c r="X14">
        <v>95</v>
      </c>
    </row>
    <row r="15" spans="1:31" s="3" customFormat="1" x14ac:dyDescent="0.3">
      <c r="A15" s="3">
        <v>14</v>
      </c>
      <c r="B15" s="3">
        <v>892.60273972602738</v>
      </c>
      <c r="C15" s="3">
        <v>0</v>
      </c>
      <c r="D15" s="3">
        <v>0</v>
      </c>
      <c r="E15" s="3">
        <v>22.60273972602738</v>
      </c>
      <c r="F15" s="3">
        <v>7.1054273576010019E-15</v>
      </c>
      <c r="G15" s="3">
        <v>0</v>
      </c>
      <c r="H15" s="3">
        <v>250</v>
      </c>
      <c r="I15" s="3">
        <v>620</v>
      </c>
      <c r="J15" s="3">
        <v>67.044444444444451</v>
      </c>
      <c r="K15" s="3">
        <v>0</v>
      </c>
      <c r="L15" s="3">
        <v>24.797260273972611</v>
      </c>
      <c r="M15" s="3">
        <v>0</v>
      </c>
      <c r="N15" s="3">
        <v>0</v>
      </c>
      <c r="O15" s="3">
        <v>0</v>
      </c>
      <c r="P15" s="3">
        <v>0</v>
      </c>
      <c r="Q15" s="3" t="s">
        <v>59</v>
      </c>
      <c r="R15" s="3" t="s">
        <v>60</v>
      </c>
      <c r="S15" s="3">
        <v>24.797260273972611</v>
      </c>
      <c r="T15" s="3">
        <v>67.044444444444451</v>
      </c>
      <c r="U15" s="3">
        <v>91.841704718417063</v>
      </c>
      <c r="V15" s="3" t="s">
        <v>61</v>
      </c>
      <c r="W15" s="3">
        <v>91.841704718417063</v>
      </c>
      <c r="X15" s="3">
        <v>95</v>
      </c>
      <c r="AE15" s="3" t="s">
        <v>168</v>
      </c>
    </row>
    <row r="16" spans="1:31" s="3" customFormat="1" x14ac:dyDescent="0.3">
      <c r="A16" s="3">
        <v>15</v>
      </c>
      <c r="B16" s="3">
        <v>892.60273972602738</v>
      </c>
      <c r="C16" s="3">
        <v>0</v>
      </c>
      <c r="D16" s="3">
        <v>0</v>
      </c>
      <c r="E16" s="3">
        <v>22.60273972602738</v>
      </c>
      <c r="F16" s="3">
        <v>0</v>
      </c>
      <c r="G16" s="3">
        <v>0</v>
      </c>
      <c r="H16" s="3">
        <v>250</v>
      </c>
      <c r="I16" s="3">
        <v>620</v>
      </c>
      <c r="J16" s="3">
        <v>0</v>
      </c>
      <c r="K16" s="3">
        <v>0</v>
      </c>
      <c r="L16" s="3">
        <v>0</v>
      </c>
      <c r="M16" s="3">
        <v>7.1054273576010019E-15</v>
      </c>
      <c r="N16" s="3">
        <v>0</v>
      </c>
      <c r="O16" s="3">
        <v>0</v>
      </c>
      <c r="P16" s="3">
        <v>0</v>
      </c>
      <c r="Q16" s="3" t="s">
        <v>53</v>
      </c>
      <c r="S16" s="3">
        <v>7.1054273576010019E-15</v>
      </c>
      <c r="T16" s="3">
        <v>0</v>
      </c>
      <c r="U16" s="3">
        <v>7.1054273576010019E-15</v>
      </c>
      <c r="V16" s="3" t="s">
        <v>72</v>
      </c>
      <c r="W16" s="3">
        <v>7.1054273576010019E-15</v>
      </c>
      <c r="X16" s="3">
        <v>96</v>
      </c>
      <c r="AE16" s="3" t="s">
        <v>168</v>
      </c>
    </row>
    <row r="17" spans="1:31" s="3" customFormat="1" x14ac:dyDescent="0.3">
      <c r="A17" s="3">
        <v>16</v>
      </c>
      <c r="B17" s="3">
        <v>1497.602739726027</v>
      </c>
      <c r="C17" s="3">
        <v>0</v>
      </c>
      <c r="D17" s="3">
        <v>0</v>
      </c>
      <c r="E17" s="3">
        <v>77.60273972602738</v>
      </c>
      <c r="F17" s="3">
        <v>0</v>
      </c>
      <c r="G17" s="3">
        <v>0</v>
      </c>
      <c r="H17" s="3">
        <v>800</v>
      </c>
      <c r="I17" s="3">
        <v>620</v>
      </c>
      <c r="J17" s="3">
        <v>0</v>
      </c>
      <c r="K17" s="3">
        <v>0</v>
      </c>
      <c r="L17" s="3">
        <v>95</v>
      </c>
      <c r="M17" s="3">
        <v>0</v>
      </c>
      <c r="N17" s="3">
        <v>0</v>
      </c>
      <c r="O17" s="3">
        <v>0</v>
      </c>
      <c r="P17" s="3">
        <v>0</v>
      </c>
      <c r="Q17" s="3" t="s">
        <v>59</v>
      </c>
      <c r="S17" s="3">
        <v>95</v>
      </c>
      <c r="T17" s="3">
        <v>0</v>
      </c>
      <c r="U17" s="3">
        <v>95</v>
      </c>
      <c r="V17" s="3" t="s">
        <v>72</v>
      </c>
      <c r="W17" s="3">
        <v>95</v>
      </c>
      <c r="X17" s="3">
        <v>95</v>
      </c>
      <c r="AD17" s="3" t="s">
        <v>169</v>
      </c>
      <c r="AE17" s="3" t="s">
        <v>168</v>
      </c>
    </row>
    <row r="18" spans="1:31" s="3" customFormat="1" x14ac:dyDescent="0.3">
      <c r="A18" s="3">
        <v>17</v>
      </c>
      <c r="B18" s="3">
        <v>1420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800</v>
      </c>
      <c r="I18" s="3">
        <v>620</v>
      </c>
      <c r="J18" s="3">
        <v>0</v>
      </c>
      <c r="K18" s="3">
        <v>0</v>
      </c>
      <c r="L18" s="3">
        <v>77.60273972602738</v>
      </c>
      <c r="M18" s="3">
        <v>0</v>
      </c>
      <c r="N18" s="3">
        <v>0</v>
      </c>
      <c r="O18" s="3">
        <v>0</v>
      </c>
      <c r="P18" s="3">
        <v>0</v>
      </c>
      <c r="Q18" s="3" t="s">
        <v>59</v>
      </c>
      <c r="S18" s="3">
        <v>77.60273972602738</v>
      </c>
      <c r="T18" s="3">
        <v>0</v>
      </c>
      <c r="U18" s="3">
        <v>77.60273972602738</v>
      </c>
      <c r="V18" s="3" t="s">
        <v>72</v>
      </c>
      <c r="W18" s="3">
        <v>77.60273972602738</v>
      </c>
      <c r="X18" s="3">
        <v>95</v>
      </c>
      <c r="AE18" s="3" t="s">
        <v>168</v>
      </c>
    </row>
    <row r="19" spans="1:31" x14ac:dyDescent="0.3">
      <c r="A19">
        <v>18</v>
      </c>
      <c r="B19">
        <v>1325</v>
      </c>
      <c r="C19">
        <v>0</v>
      </c>
      <c r="D19">
        <v>0</v>
      </c>
      <c r="E19">
        <v>0</v>
      </c>
      <c r="F19">
        <v>0</v>
      </c>
      <c r="G19">
        <v>0</v>
      </c>
      <c r="H19">
        <v>705</v>
      </c>
      <c r="I19">
        <v>620</v>
      </c>
      <c r="J19">
        <v>0</v>
      </c>
      <c r="K19">
        <v>0</v>
      </c>
      <c r="L19">
        <v>0</v>
      </c>
      <c r="M19">
        <v>0</v>
      </c>
      <c r="N19">
        <v>0</v>
      </c>
      <c r="O19">
        <v>95</v>
      </c>
      <c r="P19">
        <v>0</v>
      </c>
      <c r="Q19" t="s">
        <v>75</v>
      </c>
      <c r="S19">
        <v>95</v>
      </c>
      <c r="T19">
        <v>0</v>
      </c>
      <c r="U19">
        <v>95</v>
      </c>
      <c r="V19" t="s">
        <v>72</v>
      </c>
      <c r="W19">
        <v>95</v>
      </c>
      <c r="X19">
        <v>95</v>
      </c>
    </row>
    <row r="20" spans="1:31" x14ac:dyDescent="0.3">
      <c r="A20">
        <v>19</v>
      </c>
      <c r="B20">
        <v>1429</v>
      </c>
      <c r="C20">
        <v>0</v>
      </c>
      <c r="D20">
        <v>0</v>
      </c>
      <c r="E20">
        <v>0</v>
      </c>
      <c r="F20">
        <v>104</v>
      </c>
      <c r="G20">
        <v>0</v>
      </c>
      <c r="H20">
        <v>705</v>
      </c>
      <c r="I20">
        <v>620</v>
      </c>
      <c r="J20">
        <v>0</v>
      </c>
      <c r="K20">
        <v>0</v>
      </c>
      <c r="L20">
        <v>0</v>
      </c>
      <c r="M20">
        <v>96</v>
      </c>
      <c r="N20">
        <v>0</v>
      </c>
      <c r="O20">
        <v>0</v>
      </c>
      <c r="P20">
        <v>0</v>
      </c>
      <c r="Q20" t="s">
        <v>53</v>
      </c>
      <c r="S20">
        <v>96</v>
      </c>
      <c r="T20">
        <v>0</v>
      </c>
      <c r="U20">
        <v>96</v>
      </c>
      <c r="V20" t="s">
        <v>72</v>
      </c>
      <c r="W20">
        <v>96</v>
      </c>
      <c r="X20">
        <v>96</v>
      </c>
      <c r="AD20" t="s">
        <v>145</v>
      </c>
    </row>
    <row r="21" spans="1:31" x14ac:dyDescent="0.3">
      <c r="A21">
        <v>20</v>
      </c>
      <c r="B21">
        <v>1333</v>
      </c>
      <c r="C21">
        <v>0</v>
      </c>
      <c r="D21">
        <v>0</v>
      </c>
      <c r="E21">
        <v>0</v>
      </c>
      <c r="F21">
        <v>8</v>
      </c>
      <c r="G21">
        <v>0</v>
      </c>
      <c r="H21">
        <v>705</v>
      </c>
      <c r="I21">
        <v>620</v>
      </c>
      <c r="J21">
        <v>0</v>
      </c>
      <c r="K21">
        <v>0</v>
      </c>
      <c r="L21">
        <v>0</v>
      </c>
      <c r="M21">
        <v>96</v>
      </c>
      <c r="N21">
        <v>0</v>
      </c>
      <c r="O21">
        <v>0</v>
      </c>
      <c r="P21">
        <v>0</v>
      </c>
      <c r="Q21" t="s">
        <v>53</v>
      </c>
      <c r="S21">
        <v>96</v>
      </c>
      <c r="T21">
        <v>0</v>
      </c>
      <c r="U21">
        <v>96</v>
      </c>
      <c r="V21" t="s">
        <v>72</v>
      </c>
      <c r="W21">
        <v>96</v>
      </c>
      <c r="X21">
        <v>96</v>
      </c>
    </row>
    <row r="22" spans="1:31" x14ac:dyDescent="0.3">
      <c r="A22">
        <v>21</v>
      </c>
      <c r="B22">
        <v>1325</v>
      </c>
      <c r="C22">
        <v>0</v>
      </c>
      <c r="D22">
        <v>0</v>
      </c>
      <c r="E22">
        <v>0</v>
      </c>
      <c r="F22">
        <v>0</v>
      </c>
      <c r="G22">
        <v>0</v>
      </c>
      <c r="H22">
        <v>705</v>
      </c>
      <c r="I22">
        <v>620</v>
      </c>
      <c r="J22">
        <v>0</v>
      </c>
      <c r="K22">
        <v>0</v>
      </c>
      <c r="L22">
        <v>0</v>
      </c>
      <c r="M22">
        <v>8</v>
      </c>
      <c r="N22">
        <v>0</v>
      </c>
      <c r="O22">
        <v>0</v>
      </c>
      <c r="P22">
        <v>0</v>
      </c>
      <c r="Q22" t="s">
        <v>53</v>
      </c>
      <c r="S22">
        <v>8</v>
      </c>
      <c r="T22">
        <v>0</v>
      </c>
      <c r="U22">
        <v>8</v>
      </c>
      <c r="V22" t="s">
        <v>72</v>
      </c>
      <c r="W22">
        <v>8</v>
      </c>
      <c r="X22">
        <v>96</v>
      </c>
    </row>
    <row r="23" spans="1:31" x14ac:dyDescent="0.3">
      <c r="A23">
        <v>22</v>
      </c>
      <c r="B23">
        <v>1878</v>
      </c>
      <c r="C23">
        <v>273</v>
      </c>
      <c r="D23">
        <v>0</v>
      </c>
      <c r="E23">
        <v>0</v>
      </c>
      <c r="F23">
        <v>0</v>
      </c>
      <c r="G23">
        <v>0</v>
      </c>
      <c r="H23">
        <v>705</v>
      </c>
      <c r="I23">
        <v>900</v>
      </c>
      <c r="J23">
        <v>87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60</v>
      </c>
      <c r="S23">
        <v>87</v>
      </c>
      <c r="T23">
        <v>0</v>
      </c>
      <c r="U23">
        <v>87</v>
      </c>
      <c r="V23" t="s">
        <v>72</v>
      </c>
      <c r="W23">
        <v>87</v>
      </c>
      <c r="X23">
        <v>87</v>
      </c>
      <c r="AD23" t="s">
        <v>170</v>
      </c>
    </row>
    <row r="24" spans="1:31" x14ac:dyDescent="0.3">
      <c r="A24">
        <v>23</v>
      </c>
      <c r="B24">
        <v>1791</v>
      </c>
      <c r="C24">
        <v>186</v>
      </c>
      <c r="D24">
        <v>0</v>
      </c>
      <c r="E24">
        <v>0</v>
      </c>
      <c r="F24">
        <v>0</v>
      </c>
      <c r="G24">
        <v>0</v>
      </c>
      <c r="H24">
        <v>705</v>
      </c>
      <c r="I24">
        <v>900</v>
      </c>
      <c r="J24">
        <v>87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60</v>
      </c>
      <c r="S24">
        <v>87</v>
      </c>
      <c r="T24">
        <v>0</v>
      </c>
      <c r="U24">
        <v>87</v>
      </c>
      <c r="V24" t="s">
        <v>72</v>
      </c>
      <c r="W24">
        <v>87</v>
      </c>
      <c r="X24">
        <v>87</v>
      </c>
    </row>
    <row r="25" spans="1:31" x14ac:dyDescent="0.3">
      <c r="A25">
        <v>24</v>
      </c>
      <c r="B25">
        <v>1704</v>
      </c>
      <c r="C25">
        <v>99</v>
      </c>
      <c r="D25">
        <v>0</v>
      </c>
      <c r="E25">
        <v>0</v>
      </c>
      <c r="F25">
        <v>0</v>
      </c>
      <c r="G25">
        <v>0</v>
      </c>
      <c r="H25">
        <v>705</v>
      </c>
      <c r="I25">
        <v>900</v>
      </c>
      <c r="J25">
        <v>87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60</v>
      </c>
      <c r="S25">
        <v>87</v>
      </c>
      <c r="T25">
        <v>0</v>
      </c>
      <c r="U25">
        <v>87</v>
      </c>
      <c r="V25" t="s">
        <v>72</v>
      </c>
      <c r="W25">
        <v>87</v>
      </c>
      <c r="X25">
        <v>87</v>
      </c>
    </row>
    <row r="26" spans="1:31" x14ac:dyDescent="0.3">
      <c r="A26">
        <v>25</v>
      </c>
      <c r="B26">
        <v>1617</v>
      </c>
      <c r="C26">
        <v>12</v>
      </c>
      <c r="D26">
        <v>0</v>
      </c>
      <c r="E26">
        <v>0</v>
      </c>
      <c r="F26">
        <v>0</v>
      </c>
      <c r="G26">
        <v>0</v>
      </c>
      <c r="H26">
        <v>705</v>
      </c>
      <c r="I26">
        <v>900</v>
      </c>
      <c r="J26">
        <v>87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60</v>
      </c>
      <c r="S26">
        <v>87</v>
      </c>
      <c r="T26">
        <v>0</v>
      </c>
      <c r="U26">
        <v>87</v>
      </c>
      <c r="V26" t="s">
        <v>72</v>
      </c>
      <c r="W26">
        <v>87</v>
      </c>
      <c r="X26">
        <v>87</v>
      </c>
    </row>
    <row r="27" spans="1:31" x14ac:dyDescent="0.3">
      <c r="A27">
        <v>26</v>
      </c>
      <c r="B27">
        <v>1605</v>
      </c>
      <c r="C27">
        <v>0</v>
      </c>
      <c r="D27">
        <v>0</v>
      </c>
      <c r="E27">
        <v>0</v>
      </c>
      <c r="F27">
        <v>0</v>
      </c>
      <c r="G27">
        <v>0</v>
      </c>
      <c r="H27">
        <v>705</v>
      </c>
      <c r="I27">
        <v>900</v>
      </c>
      <c r="J27">
        <v>12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60</v>
      </c>
      <c r="S27">
        <v>12</v>
      </c>
      <c r="T27">
        <v>0</v>
      </c>
      <c r="U27">
        <v>12</v>
      </c>
      <c r="V27" t="s">
        <v>72</v>
      </c>
      <c r="W27">
        <v>12</v>
      </c>
      <c r="X27">
        <v>87</v>
      </c>
    </row>
    <row r="28" spans="1:31" x14ac:dyDescent="0.3">
      <c r="A28">
        <v>27</v>
      </c>
      <c r="B28">
        <v>1760</v>
      </c>
      <c r="C28">
        <v>0</v>
      </c>
      <c r="D28">
        <v>0</v>
      </c>
      <c r="E28">
        <v>0</v>
      </c>
      <c r="F28">
        <v>0</v>
      </c>
      <c r="G28">
        <v>55</v>
      </c>
      <c r="H28">
        <v>805</v>
      </c>
      <c r="I28">
        <v>900</v>
      </c>
      <c r="J28">
        <v>0</v>
      </c>
      <c r="K28">
        <v>0</v>
      </c>
      <c r="L28">
        <v>0</v>
      </c>
      <c r="M28">
        <v>0</v>
      </c>
      <c r="N28">
        <v>95</v>
      </c>
      <c r="O28">
        <v>0</v>
      </c>
      <c r="P28">
        <v>0</v>
      </c>
      <c r="Q28" t="s">
        <v>54</v>
      </c>
      <c r="S28">
        <v>95</v>
      </c>
      <c r="T28">
        <v>0</v>
      </c>
      <c r="U28">
        <v>95</v>
      </c>
      <c r="V28" t="s">
        <v>72</v>
      </c>
      <c r="W28">
        <v>95</v>
      </c>
      <c r="X28">
        <v>95</v>
      </c>
      <c r="AD28" t="s">
        <v>171</v>
      </c>
    </row>
    <row r="29" spans="1:31" x14ac:dyDescent="0.3">
      <c r="A29">
        <v>28</v>
      </c>
      <c r="B29">
        <v>1705</v>
      </c>
      <c r="C29">
        <v>0</v>
      </c>
      <c r="D29">
        <v>0</v>
      </c>
      <c r="E29">
        <v>0</v>
      </c>
      <c r="F29">
        <v>0</v>
      </c>
      <c r="G29">
        <v>0</v>
      </c>
      <c r="H29">
        <v>805</v>
      </c>
      <c r="I29">
        <v>900</v>
      </c>
      <c r="J29">
        <v>0</v>
      </c>
      <c r="K29">
        <v>0</v>
      </c>
      <c r="L29">
        <v>0</v>
      </c>
      <c r="M29">
        <v>0</v>
      </c>
      <c r="N29">
        <v>55</v>
      </c>
      <c r="O29">
        <v>0</v>
      </c>
      <c r="P29">
        <v>0</v>
      </c>
      <c r="Q29" t="s">
        <v>54</v>
      </c>
      <c r="S29">
        <v>55</v>
      </c>
      <c r="T29">
        <v>0</v>
      </c>
      <c r="U29">
        <v>55</v>
      </c>
      <c r="V29" t="s">
        <v>72</v>
      </c>
      <c r="W29">
        <v>55</v>
      </c>
      <c r="X29">
        <v>95</v>
      </c>
    </row>
    <row r="30" spans="1:31" x14ac:dyDescent="0.3">
      <c r="A30">
        <v>29</v>
      </c>
      <c r="B30">
        <v>1610</v>
      </c>
      <c r="C30">
        <v>0</v>
      </c>
      <c r="D30">
        <v>0</v>
      </c>
      <c r="E30">
        <v>0</v>
      </c>
      <c r="F30">
        <v>0</v>
      </c>
      <c r="G30">
        <v>0</v>
      </c>
      <c r="H30">
        <v>710</v>
      </c>
      <c r="I30">
        <v>900</v>
      </c>
      <c r="J30">
        <v>0</v>
      </c>
      <c r="K30">
        <v>0</v>
      </c>
      <c r="L30">
        <v>0</v>
      </c>
      <c r="M30">
        <v>0</v>
      </c>
      <c r="N30">
        <v>0</v>
      </c>
      <c r="O30">
        <v>95</v>
      </c>
      <c r="P30">
        <v>0</v>
      </c>
      <c r="Q30" t="s">
        <v>75</v>
      </c>
      <c r="S30">
        <v>95</v>
      </c>
      <c r="T30">
        <v>0</v>
      </c>
      <c r="U30">
        <v>95</v>
      </c>
      <c r="V30" t="s">
        <v>72</v>
      </c>
      <c r="W30">
        <v>95</v>
      </c>
      <c r="X30">
        <v>95</v>
      </c>
    </row>
    <row r="31" spans="1:31" x14ac:dyDescent="0.3">
      <c r="A31">
        <v>30</v>
      </c>
      <c r="B31">
        <v>1515</v>
      </c>
      <c r="C31">
        <v>0</v>
      </c>
      <c r="D31">
        <v>0</v>
      </c>
      <c r="E31">
        <v>0</v>
      </c>
      <c r="F31">
        <v>0</v>
      </c>
      <c r="G31">
        <v>0</v>
      </c>
      <c r="H31">
        <v>615</v>
      </c>
      <c r="I31">
        <v>900</v>
      </c>
      <c r="J31">
        <v>0</v>
      </c>
      <c r="K31">
        <v>0</v>
      </c>
      <c r="L31">
        <v>0</v>
      </c>
      <c r="M31">
        <v>0</v>
      </c>
      <c r="N31">
        <v>0</v>
      </c>
      <c r="O31">
        <v>95</v>
      </c>
      <c r="P31">
        <v>0</v>
      </c>
      <c r="Q31" t="s">
        <v>75</v>
      </c>
      <c r="S31">
        <v>95</v>
      </c>
      <c r="T31">
        <v>0</v>
      </c>
      <c r="U31">
        <v>95</v>
      </c>
      <c r="V31" t="s">
        <v>72</v>
      </c>
      <c r="W31">
        <v>95</v>
      </c>
      <c r="X31">
        <v>95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3D26-3D72-4B8C-90D5-A338E8ACE1AB}">
  <dimension ref="A1:AJ51"/>
  <sheetViews>
    <sheetView zoomScale="80" zoomScaleNormal="80" workbookViewId="0">
      <pane xSplit="1" ySplit="2" topLeftCell="B8" activePane="bottomRight" state="frozen"/>
      <selection pane="topRight" activeCell="B1" sqref="B1"/>
      <selection pane="bottomLeft" activeCell="A2" sqref="A2"/>
      <selection pane="bottomRight" activeCell="P11" sqref="P11"/>
    </sheetView>
  </sheetViews>
  <sheetFormatPr defaultRowHeight="14.4" x14ac:dyDescent="0.3"/>
  <cols>
    <col min="1" max="1" width="7.33203125" customWidth="1"/>
    <col min="2" max="2" width="12" bestFit="1" customWidth="1"/>
    <col min="3" max="3" width="14.33203125" bestFit="1" customWidth="1"/>
    <col min="4" max="4" width="11.44140625" bestFit="1" customWidth="1"/>
    <col min="5" max="6" width="12" bestFit="1" customWidth="1"/>
    <col min="7" max="7" width="11.44140625" bestFit="1" customWidth="1"/>
    <col min="8" max="8" width="11.33203125" bestFit="1" customWidth="1"/>
    <col min="9" max="9" width="11.109375" bestFit="1" customWidth="1"/>
    <col min="10" max="15" width="11.44140625" customWidth="1"/>
    <col min="16" max="16" width="20.44140625" bestFit="1" customWidth="1"/>
    <col min="17" max="20" width="15.6640625" hidden="1" customWidth="1"/>
    <col min="21" max="21" width="12" customWidth="1"/>
    <col min="22" max="24" width="15.6640625" hidden="1" customWidth="1"/>
    <col min="25" max="25" width="8.6640625" hidden="1" customWidth="1"/>
    <col min="26" max="29" width="0" hidden="1" customWidth="1"/>
    <col min="30" max="30" width="15" bestFit="1" customWidth="1"/>
    <col min="31" max="31" width="21.6640625" bestFit="1" customWidth="1"/>
    <col min="32" max="32" width="27.33203125" customWidth="1"/>
    <col min="33" max="34" width="32.109375" customWidth="1"/>
    <col min="35" max="35" width="20" customWidth="1"/>
  </cols>
  <sheetData>
    <row r="1" spans="1:36" x14ac:dyDescent="0.3"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15</v>
      </c>
      <c r="I1" t="s">
        <v>14</v>
      </c>
    </row>
    <row r="2" spans="1:36" ht="28.8" x14ac:dyDescent="0.3">
      <c r="A2" s="1" t="s">
        <v>16</v>
      </c>
      <c r="B2" s="7" t="s">
        <v>109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8" t="s">
        <v>46</v>
      </c>
      <c r="AE2" s="8" t="s">
        <v>47</v>
      </c>
      <c r="AF2" s="8" t="s">
        <v>48</v>
      </c>
      <c r="AG2" s="8" t="s">
        <v>49</v>
      </c>
      <c r="AH2" s="8" t="s">
        <v>50</v>
      </c>
      <c r="AI2" s="2" t="s">
        <v>92</v>
      </c>
      <c r="AJ2" s="2" t="s">
        <v>52</v>
      </c>
    </row>
    <row r="3" spans="1:36" x14ac:dyDescent="0.3">
      <c r="A3" s="5">
        <v>0</v>
      </c>
      <c r="B3" s="5">
        <f>SUM(C3:I3)</f>
        <v>1050</v>
      </c>
      <c r="C3" s="5">
        <v>350</v>
      </c>
      <c r="D3" s="5">
        <v>0</v>
      </c>
      <c r="E3" s="5">
        <v>150</v>
      </c>
      <c r="F3" s="5">
        <v>150</v>
      </c>
      <c r="G3" s="5">
        <v>100</v>
      </c>
      <c r="H3" s="5">
        <v>0</v>
      </c>
      <c r="I3" s="5">
        <v>300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/>
      <c r="R3" s="5"/>
      <c r="S3" s="5"/>
      <c r="T3" s="5"/>
      <c r="U3" s="5">
        <v>0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6" x14ac:dyDescent="0.3">
      <c r="A4">
        <v>1</v>
      </c>
      <c r="B4">
        <f>SUM(C4:I4)</f>
        <v>1050</v>
      </c>
      <c r="C4">
        <f>C3-J3</f>
        <v>350</v>
      </c>
      <c r="D4">
        <v>0</v>
      </c>
      <c r="E4">
        <v>150</v>
      </c>
      <c r="F4">
        <f t="shared" ref="F4:F9" si="0">F3-M3</f>
        <v>150</v>
      </c>
      <c r="G4">
        <v>100</v>
      </c>
      <c r="H4">
        <v>0</v>
      </c>
      <c r="I4">
        <v>300</v>
      </c>
      <c r="J4">
        <v>69.3</v>
      </c>
      <c r="K4">
        <v>0</v>
      </c>
      <c r="L4">
        <v>0</v>
      </c>
      <c r="M4">
        <v>25.7</v>
      </c>
      <c r="N4">
        <v>0</v>
      </c>
      <c r="O4">
        <v>0</v>
      </c>
      <c r="P4">
        <v>0</v>
      </c>
      <c r="Q4" t="s">
        <v>53</v>
      </c>
      <c r="R4" t="s">
        <v>54</v>
      </c>
      <c r="S4">
        <v>57.599999999999987</v>
      </c>
      <c r="T4">
        <v>38.4</v>
      </c>
      <c r="U4">
        <f>SUM(J4:P4)</f>
        <v>95</v>
      </c>
      <c r="V4" t="s">
        <v>55</v>
      </c>
      <c r="W4">
        <v>96</v>
      </c>
      <c r="X4">
        <v>96</v>
      </c>
      <c r="AD4" s="9" t="s">
        <v>132</v>
      </c>
      <c r="AE4" s="5"/>
      <c r="AF4" s="5"/>
      <c r="AG4" s="5"/>
      <c r="AH4" s="5"/>
    </row>
    <row r="5" spans="1:36" x14ac:dyDescent="0.3">
      <c r="A5">
        <v>2</v>
      </c>
      <c r="B5">
        <f t="shared" ref="B5:B43" si="1">SUM(C5:I5)</f>
        <v>955</v>
      </c>
      <c r="C5">
        <f t="shared" ref="C5:C10" si="2">C4-J4</f>
        <v>280.7</v>
      </c>
      <c r="D5">
        <f>D4-K5</f>
        <v>0</v>
      </c>
      <c r="E5">
        <f>E4-L4</f>
        <v>150</v>
      </c>
      <c r="F5">
        <f t="shared" si="0"/>
        <v>124.3</v>
      </c>
      <c r="G5">
        <f>G4-N4</f>
        <v>100</v>
      </c>
      <c r="H5">
        <f>H4-O4</f>
        <v>0</v>
      </c>
      <c r="I5">
        <f>I4-P4</f>
        <v>300</v>
      </c>
      <c r="J5">
        <v>69.3</v>
      </c>
      <c r="K5">
        <v>0</v>
      </c>
      <c r="L5">
        <v>0</v>
      </c>
      <c r="M5">
        <v>25.7</v>
      </c>
      <c r="N5">
        <v>0</v>
      </c>
      <c r="O5">
        <v>0</v>
      </c>
      <c r="P5">
        <v>0</v>
      </c>
      <c r="Q5" t="s">
        <v>53</v>
      </c>
      <c r="R5" t="s">
        <v>54</v>
      </c>
      <c r="S5">
        <v>57.599999999999987</v>
      </c>
      <c r="T5">
        <v>38.4</v>
      </c>
      <c r="U5">
        <f t="shared" ref="U5:U43" si="3">SUM(J5:P5)</f>
        <v>95</v>
      </c>
      <c r="V5" t="s">
        <v>55</v>
      </c>
      <c r="W5">
        <v>96</v>
      </c>
      <c r="X5">
        <v>96</v>
      </c>
      <c r="AD5" s="9" t="s">
        <v>133</v>
      </c>
      <c r="AE5" s="5"/>
      <c r="AF5" s="5"/>
      <c r="AG5" s="5"/>
      <c r="AH5" s="5"/>
    </row>
    <row r="6" spans="1:36" x14ac:dyDescent="0.3">
      <c r="A6">
        <v>3</v>
      </c>
      <c r="B6">
        <f t="shared" si="1"/>
        <v>860</v>
      </c>
      <c r="C6">
        <f t="shared" si="2"/>
        <v>211.39999999999998</v>
      </c>
      <c r="D6">
        <f t="shared" ref="D6:D43" si="4">D5-K6</f>
        <v>0</v>
      </c>
      <c r="E6">
        <f t="shared" ref="E6:E43" si="5">E5-L5</f>
        <v>150</v>
      </c>
      <c r="F6">
        <f t="shared" si="0"/>
        <v>98.6</v>
      </c>
      <c r="G6">
        <f>G5-N5</f>
        <v>100</v>
      </c>
      <c r="H6">
        <f t="shared" ref="H6:H31" si="6">H5-O5</f>
        <v>0</v>
      </c>
      <c r="I6">
        <f t="shared" ref="I6:I43" si="7">I5-P5</f>
        <v>300</v>
      </c>
      <c r="J6">
        <v>69.3</v>
      </c>
      <c r="K6">
        <v>0</v>
      </c>
      <c r="L6">
        <v>0</v>
      </c>
      <c r="M6">
        <v>25.7</v>
      </c>
      <c r="N6">
        <v>0</v>
      </c>
      <c r="O6">
        <v>0</v>
      </c>
      <c r="P6">
        <v>0</v>
      </c>
      <c r="Q6" t="s">
        <v>53</v>
      </c>
      <c r="R6" t="s">
        <v>54</v>
      </c>
      <c r="S6">
        <v>34.799999999999997</v>
      </c>
      <c r="T6">
        <v>23.2</v>
      </c>
      <c r="U6">
        <f t="shared" si="3"/>
        <v>95</v>
      </c>
      <c r="V6" t="s">
        <v>55</v>
      </c>
      <c r="W6">
        <v>58.000000000000007</v>
      </c>
      <c r="X6">
        <v>96</v>
      </c>
      <c r="AD6" s="10" t="s">
        <v>58</v>
      </c>
      <c r="AE6" s="5"/>
      <c r="AF6" s="5"/>
      <c r="AG6" s="5"/>
      <c r="AH6" s="5"/>
    </row>
    <row r="7" spans="1:36" x14ac:dyDescent="0.3">
      <c r="A7">
        <v>4</v>
      </c>
      <c r="B7">
        <f t="shared" si="1"/>
        <v>765</v>
      </c>
      <c r="C7">
        <f t="shared" si="2"/>
        <v>142.09999999999997</v>
      </c>
      <c r="D7">
        <f t="shared" si="4"/>
        <v>0</v>
      </c>
      <c r="E7">
        <f t="shared" si="5"/>
        <v>150</v>
      </c>
      <c r="F7">
        <f t="shared" si="0"/>
        <v>72.899999999999991</v>
      </c>
      <c r="G7">
        <f>G6-N6</f>
        <v>100</v>
      </c>
      <c r="H7">
        <f t="shared" si="6"/>
        <v>0</v>
      </c>
      <c r="I7">
        <f t="shared" si="7"/>
        <v>300</v>
      </c>
      <c r="J7">
        <v>69.3</v>
      </c>
      <c r="K7">
        <v>0</v>
      </c>
      <c r="L7">
        <v>0</v>
      </c>
      <c r="M7">
        <v>25.7</v>
      </c>
      <c r="N7">
        <v>0</v>
      </c>
      <c r="O7">
        <v>0</v>
      </c>
      <c r="P7">
        <v>0</v>
      </c>
      <c r="Q7" t="s">
        <v>59</v>
      </c>
      <c r="R7" t="s">
        <v>60</v>
      </c>
      <c r="S7">
        <v>25.65</v>
      </c>
      <c r="T7">
        <v>69.349999999999994</v>
      </c>
      <c r="U7">
        <f t="shared" si="3"/>
        <v>95</v>
      </c>
      <c r="V7" t="s">
        <v>61</v>
      </c>
      <c r="W7">
        <v>95</v>
      </c>
      <c r="X7">
        <v>95</v>
      </c>
      <c r="AD7" s="10" t="s">
        <v>58</v>
      </c>
      <c r="AE7" s="5"/>
      <c r="AF7" s="5"/>
      <c r="AG7" s="5"/>
      <c r="AH7" s="5"/>
    </row>
    <row r="8" spans="1:36" x14ac:dyDescent="0.3">
      <c r="A8">
        <v>5</v>
      </c>
      <c r="B8">
        <f>SUM(C8:I8)</f>
        <v>670</v>
      </c>
      <c r="C8">
        <f t="shared" si="2"/>
        <v>72.799999999999969</v>
      </c>
      <c r="D8">
        <f>D7-K8</f>
        <v>0</v>
      </c>
      <c r="E8">
        <f t="shared" si="5"/>
        <v>150</v>
      </c>
      <c r="F8">
        <f t="shared" si="0"/>
        <v>47.199999999999989</v>
      </c>
      <c r="G8">
        <f t="shared" ref="G8:G43" si="8">G7-N7</f>
        <v>100</v>
      </c>
      <c r="H8">
        <f t="shared" si="6"/>
        <v>0</v>
      </c>
      <c r="I8">
        <f t="shared" si="7"/>
        <v>300</v>
      </c>
      <c r="J8">
        <v>69.3</v>
      </c>
      <c r="K8">
        <v>0</v>
      </c>
      <c r="L8">
        <v>0</v>
      </c>
      <c r="M8">
        <v>25.7</v>
      </c>
      <c r="N8">
        <v>0</v>
      </c>
      <c r="O8">
        <v>0</v>
      </c>
      <c r="P8">
        <v>0</v>
      </c>
      <c r="Q8" t="s">
        <v>62</v>
      </c>
      <c r="R8" t="s">
        <v>60</v>
      </c>
      <c r="S8">
        <v>25.92</v>
      </c>
      <c r="T8">
        <v>70.08</v>
      </c>
      <c r="U8">
        <f t="shared" si="3"/>
        <v>95</v>
      </c>
      <c r="V8" t="s">
        <v>61</v>
      </c>
      <c r="W8">
        <v>96</v>
      </c>
      <c r="X8">
        <v>96</v>
      </c>
      <c r="AD8" s="11" t="s">
        <v>63</v>
      </c>
      <c r="AE8" s="5" t="s">
        <v>64</v>
      </c>
      <c r="AF8" s="5"/>
      <c r="AG8" s="5"/>
      <c r="AH8" s="5"/>
    </row>
    <row r="9" spans="1:36" x14ac:dyDescent="0.3">
      <c r="A9">
        <v>6</v>
      </c>
      <c r="B9">
        <f t="shared" si="1"/>
        <v>575</v>
      </c>
      <c r="C9">
        <f t="shared" si="2"/>
        <v>3.4999999999999716</v>
      </c>
      <c r="D9">
        <f t="shared" si="4"/>
        <v>0</v>
      </c>
      <c r="E9">
        <f t="shared" si="5"/>
        <v>150</v>
      </c>
      <c r="F9">
        <f t="shared" si="0"/>
        <v>21.499999999999989</v>
      </c>
      <c r="G9">
        <f t="shared" si="8"/>
        <v>100</v>
      </c>
      <c r="H9">
        <f t="shared" si="6"/>
        <v>0</v>
      </c>
      <c r="I9">
        <f t="shared" si="7"/>
        <v>300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95</v>
      </c>
      <c r="Q9" t="s">
        <v>62</v>
      </c>
      <c r="R9" t="s">
        <v>60</v>
      </c>
      <c r="S9">
        <v>25.92</v>
      </c>
      <c r="T9">
        <v>70.08</v>
      </c>
      <c r="U9">
        <f t="shared" si="3"/>
        <v>95</v>
      </c>
      <c r="V9" t="s">
        <v>61</v>
      </c>
      <c r="W9">
        <v>96</v>
      </c>
      <c r="X9">
        <v>96</v>
      </c>
      <c r="AD9" s="11" t="s">
        <v>63</v>
      </c>
      <c r="AE9" s="5" t="s">
        <v>134</v>
      </c>
      <c r="AF9" s="5"/>
      <c r="AG9" s="5"/>
      <c r="AH9" s="5"/>
    </row>
    <row r="10" spans="1:36" x14ac:dyDescent="0.3">
      <c r="A10">
        <v>7</v>
      </c>
      <c r="B10">
        <f t="shared" si="1"/>
        <v>480</v>
      </c>
      <c r="C10">
        <f t="shared" si="2"/>
        <v>3.4999999999999716</v>
      </c>
      <c r="D10">
        <f t="shared" si="4"/>
        <v>0</v>
      </c>
      <c r="E10">
        <f t="shared" si="5"/>
        <v>150</v>
      </c>
      <c r="F10">
        <f t="shared" ref="F10:F43" si="9">F9-M9</f>
        <v>21.499999999999989</v>
      </c>
      <c r="G10">
        <f t="shared" si="8"/>
        <v>100</v>
      </c>
      <c r="H10">
        <f t="shared" si="6"/>
        <v>0</v>
      </c>
      <c r="I10">
        <f t="shared" si="7"/>
        <v>205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95</v>
      </c>
      <c r="Q10" t="s">
        <v>62</v>
      </c>
      <c r="R10" t="s">
        <v>60</v>
      </c>
      <c r="S10">
        <v>25.92</v>
      </c>
      <c r="T10">
        <v>70.08</v>
      </c>
      <c r="U10">
        <f t="shared" si="3"/>
        <v>95</v>
      </c>
      <c r="V10" t="s">
        <v>61</v>
      </c>
      <c r="W10">
        <v>96</v>
      </c>
      <c r="X10">
        <v>96</v>
      </c>
      <c r="AD10" s="12" t="s">
        <v>66</v>
      </c>
      <c r="AE10" s="5" t="s">
        <v>67</v>
      </c>
      <c r="AF10" s="5"/>
      <c r="AG10" s="5"/>
      <c r="AH10" s="5"/>
    </row>
    <row r="11" spans="1:36" x14ac:dyDescent="0.3">
      <c r="A11">
        <v>8</v>
      </c>
      <c r="B11">
        <f t="shared" si="1"/>
        <v>385</v>
      </c>
      <c r="C11">
        <f t="shared" ref="C11:C43" si="10">C10-J10</f>
        <v>3.4999999999999716</v>
      </c>
      <c r="D11">
        <f t="shared" si="4"/>
        <v>0</v>
      </c>
      <c r="E11">
        <f t="shared" si="5"/>
        <v>150</v>
      </c>
      <c r="F11">
        <f t="shared" si="9"/>
        <v>21.499999999999989</v>
      </c>
      <c r="G11">
        <f t="shared" si="8"/>
        <v>100</v>
      </c>
      <c r="H11">
        <f t="shared" si="6"/>
        <v>0</v>
      </c>
      <c r="I11">
        <f t="shared" si="7"/>
        <v>110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90</v>
      </c>
      <c r="Q11" t="s">
        <v>62</v>
      </c>
      <c r="R11" t="s">
        <v>60</v>
      </c>
      <c r="S11">
        <v>25.92</v>
      </c>
      <c r="T11">
        <v>70.08</v>
      </c>
      <c r="U11">
        <f t="shared" si="3"/>
        <v>90</v>
      </c>
      <c r="V11" t="s">
        <v>61</v>
      </c>
      <c r="W11">
        <v>96</v>
      </c>
      <c r="X11">
        <v>96</v>
      </c>
      <c r="AD11" s="12" t="s">
        <v>66</v>
      </c>
      <c r="AE11" s="5" t="s">
        <v>172</v>
      </c>
      <c r="AF11" s="5" t="s">
        <v>69</v>
      </c>
      <c r="AG11" s="5"/>
      <c r="AH11" s="5"/>
    </row>
    <row r="12" spans="1:36" x14ac:dyDescent="0.3">
      <c r="A12">
        <v>9</v>
      </c>
      <c r="B12">
        <f t="shared" si="1"/>
        <v>295</v>
      </c>
      <c r="C12">
        <f t="shared" si="10"/>
        <v>3.4999999999999716</v>
      </c>
      <c r="D12">
        <f t="shared" si="4"/>
        <v>0</v>
      </c>
      <c r="E12">
        <f t="shared" si="5"/>
        <v>150</v>
      </c>
      <c r="F12">
        <f t="shared" si="9"/>
        <v>21.499999999999989</v>
      </c>
      <c r="G12">
        <f t="shared" si="8"/>
        <v>100</v>
      </c>
      <c r="H12">
        <f>H11-O11</f>
        <v>0</v>
      </c>
      <c r="I12">
        <f>I11-P11</f>
        <v>20</v>
      </c>
      <c r="J12">
        <v>87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62</v>
      </c>
      <c r="R12" t="s">
        <v>60</v>
      </c>
      <c r="S12">
        <v>25.92</v>
      </c>
      <c r="T12">
        <v>70.08</v>
      </c>
      <c r="U12">
        <f>SUM(J12:P12)</f>
        <v>87</v>
      </c>
      <c r="V12" t="s">
        <v>61</v>
      </c>
      <c r="W12">
        <v>96</v>
      </c>
      <c r="X12">
        <v>96</v>
      </c>
      <c r="AD12" s="12" t="s">
        <v>66</v>
      </c>
      <c r="AE12" s="5" t="s">
        <v>58</v>
      </c>
      <c r="AF12" s="5" t="s">
        <v>173</v>
      </c>
      <c r="AG12" s="5"/>
      <c r="AH12" s="5"/>
    </row>
    <row r="13" spans="1:36" s="6" customFormat="1" x14ac:dyDescent="0.3">
      <c r="A13" s="6">
        <v>10</v>
      </c>
      <c r="B13" s="6">
        <f t="shared" si="1"/>
        <v>732</v>
      </c>
      <c r="C13" s="6">
        <f>C12-J12+400</f>
        <v>316.5</v>
      </c>
      <c r="D13" s="6">
        <f>D12-K13+150</f>
        <v>124</v>
      </c>
      <c r="E13" s="6">
        <f t="shared" si="5"/>
        <v>150</v>
      </c>
      <c r="F13" s="6">
        <f t="shared" si="9"/>
        <v>21.499999999999989</v>
      </c>
      <c r="G13" s="6">
        <f t="shared" si="8"/>
        <v>100</v>
      </c>
      <c r="H13" s="6">
        <f t="shared" si="6"/>
        <v>0</v>
      </c>
      <c r="I13" s="6">
        <f>I12-P12</f>
        <v>20</v>
      </c>
      <c r="J13" s="6">
        <v>70</v>
      </c>
      <c r="K13" s="6">
        <v>26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 t="s">
        <v>62</v>
      </c>
      <c r="R13" s="6" t="s">
        <v>60</v>
      </c>
      <c r="S13" s="6">
        <v>20.399999999999991</v>
      </c>
      <c r="T13" s="6">
        <v>55.15555555555553</v>
      </c>
      <c r="U13" s="6">
        <f t="shared" si="3"/>
        <v>96</v>
      </c>
      <c r="V13" s="6" t="s">
        <v>61</v>
      </c>
      <c r="W13" s="6">
        <v>75.555555555555515</v>
      </c>
      <c r="X13" s="6">
        <v>96</v>
      </c>
      <c r="AD13" s="6" t="s">
        <v>68</v>
      </c>
      <c r="AE13" s="13" t="s">
        <v>58</v>
      </c>
      <c r="AF13" s="13" t="s">
        <v>174</v>
      </c>
      <c r="AG13" s="13"/>
      <c r="AH13" s="13"/>
    </row>
    <row r="14" spans="1:36" x14ac:dyDescent="0.3">
      <c r="A14">
        <v>11</v>
      </c>
      <c r="B14">
        <f t="shared" si="1"/>
        <v>636</v>
      </c>
      <c r="C14">
        <f t="shared" si="10"/>
        <v>246.5</v>
      </c>
      <c r="D14">
        <f t="shared" si="4"/>
        <v>98</v>
      </c>
      <c r="E14">
        <f t="shared" si="5"/>
        <v>150</v>
      </c>
      <c r="F14">
        <f t="shared" si="9"/>
        <v>21.499999999999989</v>
      </c>
      <c r="G14">
        <f t="shared" si="8"/>
        <v>100</v>
      </c>
      <c r="H14">
        <f t="shared" si="6"/>
        <v>0</v>
      </c>
      <c r="I14">
        <f>I13-P13</f>
        <v>20</v>
      </c>
      <c r="J14">
        <v>70</v>
      </c>
      <c r="K14">
        <v>26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59</v>
      </c>
      <c r="R14" t="s">
        <v>60</v>
      </c>
      <c r="S14">
        <v>25.65</v>
      </c>
      <c r="T14">
        <v>69.349999999999994</v>
      </c>
      <c r="U14">
        <f t="shared" si="3"/>
        <v>96</v>
      </c>
      <c r="V14" t="s">
        <v>61</v>
      </c>
      <c r="W14">
        <v>95</v>
      </c>
      <c r="X14">
        <v>95</v>
      </c>
      <c r="AE14" s="5" t="s">
        <v>58</v>
      </c>
      <c r="AF14" s="5" t="s">
        <v>174</v>
      </c>
      <c r="AG14" s="5"/>
      <c r="AH14" s="5"/>
    </row>
    <row r="15" spans="1:36" x14ac:dyDescent="0.3">
      <c r="A15">
        <v>12</v>
      </c>
      <c r="B15">
        <f t="shared" si="1"/>
        <v>540</v>
      </c>
      <c r="C15">
        <f t="shared" si="10"/>
        <v>176.5</v>
      </c>
      <c r="D15">
        <f t="shared" si="4"/>
        <v>72</v>
      </c>
      <c r="E15">
        <f t="shared" si="5"/>
        <v>150</v>
      </c>
      <c r="F15">
        <f t="shared" si="9"/>
        <v>21.499999999999989</v>
      </c>
      <c r="G15">
        <f>G14-N14</f>
        <v>100</v>
      </c>
      <c r="H15">
        <f t="shared" si="6"/>
        <v>0</v>
      </c>
      <c r="I15">
        <f t="shared" si="7"/>
        <v>20</v>
      </c>
      <c r="J15">
        <v>70</v>
      </c>
      <c r="K15">
        <v>26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59</v>
      </c>
      <c r="R15" t="s">
        <v>60</v>
      </c>
      <c r="S15">
        <v>25.65</v>
      </c>
      <c r="T15">
        <v>69.349999999999994</v>
      </c>
      <c r="U15">
        <f t="shared" si="3"/>
        <v>96</v>
      </c>
      <c r="V15" t="s">
        <v>61</v>
      </c>
      <c r="W15">
        <v>95</v>
      </c>
      <c r="X15">
        <v>95</v>
      </c>
      <c r="AE15" s="5" t="s">
        <v>63</v>
      </c>
      <c r="AF15" s="5" t="s">
        <v>174</v>
      </c>
    </row>
    <row r="16" spans="1:36" x14ac:dyDescent="0.3">
      <c r="A16">
        <v>13</v>
      </c>
      <c r="B16">
        <f t="shared" si="1"/>
        <v>444</v>
      </c>
      <c r="C16">
        <f t="shared" si="10"/>
        <v>106.5</v>
      </c>
      <c r="D16">
        <f t="shared" si="4"/>
        <v>46</v>
      </c>
      <c r="E16">
        <f t="shared" si="5"/>
        <v>150</v>
      </c>
      <c r="F16">
        <f t="shared" si="9"/>
        <v>21.499999999999989</v>
      </c>
      <c r="G16">
        <f t="shared" si="8"/>
        <v>100</v>
      </c>
      <c r="H16">
        <f t="shared" si="6"/>
        <v>0</v>
      </c>
      <c r="I16">
        <f t="shared" si="7"/>
        <v>20</v>
      </c>
      <c r="J16">
        <v>70</v>
      </c>
      <c r="K16">
        <v>26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59</v>
      </c>
      <c r="R16" t="s">
        <v>60</v>
      </c>
      <c r="S16">
        <v>25.65</v>
      </c>
      <c r="T16">
        <v>69.349999999999994</v>
      </c>
      <c r="U16">
        <f t="shared" si="3"/>
        <v>96</v>
      </c>
      <c r="V16" t="s">
        <v>61</v>
      </c>
      <c r="W16">
        <v>95</v>
      </c>
      <c r="X16">
        <v>95</v>
      </c>
      <c r="AE16" s="5" t="s">
        <v>63</v>
      </c>
      <c r="AF16" s="5" t="s">
        <v>70</v>
      </c>
    </row>
    <row r="17" spans="1:34" x14ac:dyDescent="0.3">
      <c r="A17">
        <v>14</v>
      </c>
      <c r="B17">
        <f t="shared" si="1"/>
        <v>374</v>
      </c>
      <c r="C17">
        <f t="shared" si="10"/>
        <v>36.5</v>
      </c>
      <c r="D17">
        <f>D16-K17</f>
        <v>46</v>
      </c>
      <c r="E17">
        <f>E16-L16</f>
        <v>150</v>
      </c>
      <c r="F17">
        <f t="shared" si="9"/>
        <v>21.499999999999989</v>
      </c>
      <c r="G17">
        <f t="shared" si="8"/>
        <v>100</v>
      </c>
      <c r="H17">
        <f t="shared" si="6"/>
        <v>0</v>
      </c>
      <c r="I17">
        <f>I16-P16</f>
        <v>20</v>
      </c>
      <c r="J17">
        <v>0</v>
      </c>
      <c r="K17">
        <v>0</v>
      </c>
      <c r="L17">
        <v>57.6</v>
      </c>
      <c r="M17">
        <v>0</v>
      </c>
      <c r="N17">
        <v>38.4</v>
      </c>
      <c r="O17">
        <v>0</v>
      </c>
      <c r="P17">
        <v>0</v>
      </c>
      <c r="Q17" t="s">
        <v>59</v>
      </c>
      <c r="R17" t="s">
        <v>60</v>
      </c>
      <c r="S17">
        <v>24.797260273972611</v>
      </c>
      <c r="T17">
        <v>67.044444444444451</v>
      </c>
      <c r="U17">
        <f t="shared" si="3"/>
        <v>96</v>
      </c>
      <c r="V17" t="s">
        <v>61</v>
      </c>
      <c r="W17">
        <v>91.841704718417063</v>
      </c>
      <c r="X17">
        <v>95</v>
      </c>
      <c r="AE17" s="5" t="s">
        <v>71</v>
      </c>
      <c r="AF17" s="5" t="s">
        <v>134</v>
      </c>
    </row>
    <row r="18" spans="1:34" x14ac:dyDescent="0.3">
      <c r="A18">
        <v>15</v>
      </c>
      <c r="B18">
        <f t="shared" si="1"/>
        <v>278</v>
      </c>
      <c r="C18">
        <f>C17-J17</f>
        <v>36.5</v>
      </c>
      <c r="D18">
        <f t="shared" si="4"/>
        <v>46</v>
      </c>
      <c r="E18">
        <f t="shared" si="5"/>
        <v>92.4</v>
      </c>
      <c r="F18">
        <f t="shared" ref="F18:F27" si="11">F17-M17</f>
        <v>21.499999999999989</v>
      </c>
      <c r="G18">
        <f t="shared" si="8"/>
        <v>61.6</v>
      </c>
      <c r="H18">
        <f t="shared" si="6"/>
        <v>0</v>
      </c>
      <c r="I18">
        <f t="shared" si="7"/>
        <v>20</v>
      </c>
      <c r="J18">
        <v>0</v>
      </c>
      <c r="K18">
        <v>0</v>
      </c>
      <c r="L18">
        <v>57.6</v>
      </c>
      <c r="M18">
        <v>0</v>
      </c>
      <c r="N18">
        <v>38.4</v>
      </c>
      <c r="O18">
        <v>0</v>
      </c>
      <c r="P18">
        <v>0</v>
      </c>
      <c r="Q18" t="s">
        <v>53</v>
      </c>
      <c r="S18">
        <v>7.1054273576010019E-15</v>
      </c>
      <c r="T18">
        <v>0</v>
      </c>
      <c r="U18">
        <f t="shared" si="3"/>
        <v>96</v>
      </c>
      <c r="V18" t="s">
        <v>72</v>
      </c>
      <c r="W18">
        <v>7.1054273576010019E-15</v>
      </c>
      <c r="X18">
        <v>96</v>
      </c>
      <c r="AE18" s="5" t="s">
        <v>71</v>
      </c>
      <c r="AF18" s="5" t="s">
        <v>58</v>
      </c>
    </row>
    <row r="19" spans="1:34" s="6" customFormat="1" x14ac:dyDescent="0.3">
      <c r="A19" s="6">
        <v>16</v>
      </c>
      <c r="B19" s="6">
        <f t="shared" si="1"/>
        <v>752</v>
      </c>
      <c r="C19" s="6">
        <f>C18-J18</f>
        <v>36.5</v>
      </c>
      <c r="D19" s="6">
        <f t="shared" si="4"/>
        <v>46</v>
      </c>
      <c r="E19" s="6">
        <f>E18-L18</f>
        <v>34.800000000000004</v>
      </c>
      <c r="F19" s="6">
        <f t="shared" si="11"/>
        <v>21.499999999999989</v>
      </c>
      <c r="G19" s="6">
        <f t="shared" si="8"/>
        <v>23.200000000000003</v>
      </c>
      <c r="H19" s="6">
        <f>H18-O18+250</f>
        <v>250</v>
      </c>
      <c r="I19" s="6">
        <f>I18-P18+320</f>
        <v>340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90</v>
      </c>
      <c r="Q19" s="6" t="s">
        <v>59</v>
      </c>
      <c r="S19" s="6">
        <v>95</v>
      </c>
      <c r="T19" s="6">
        <v>0</v>
      </c>
      <c r="U19" s="6">
        <f t="shared" si="3"/>
        <v>90</v>
      </c>
      <c r="V19" s="6" t="s">
        <v>72</v>
      </c>
      <c r="W19" s="6">
        <v>95</v>
      </c>
      <c r="X19" s="6">
        <v>95</v>
      </c>
      <c r="AE19" s="13" t="s">
        <v>175</v>
      </c>
      <c r="AF19" s="13" t="s">
        <v>58</v>
      </c>
    </row>
    <row r="20" spans="1:34" x14ac:dyDescent="0.3">
      <c r="A20">
        <v>17</v>
      </c>
      <c r="B20">
        <f t="shared" si="1"/>
        <v>662</v>
      </c>
      <c r="C20">
        <f>C19-J19</f>
        <v>36.5</v>
      </c>
      <c r="D20">
        <f t="shared" si="4"/>
        <v>46</v>
      </c>
      <c r="E20">
        <f>E19-L19</f>
        <v>34.800000000000004</v>
      </c>
      <c r="F20">
        <f t="shared" si="11"/>
        <v>21.499999999999989</v>
      </c>
      <c r="G20">
        <f t="shared" si="8"/>
        <v>23.200000000000003</v>
      </c>
      <c r="H20">
        <f>H19-O19</f>
        <v>250</v>
      </c>
      <c r="I20">
        <f t="shared" si="7"/>
        <v>250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90</v>
      </c>
      <c r="Q20" t="s">
        <v>59</v>
      </c>
      <c r="S20">
        <v>77.60273972602738</v>
      </c>
      <c r="T20">
        <v>0</v>
      </c>
      <c r="U20">
        <f t="shared" si="3"/>
        <v>90</v>
      </c>
      <c r="V20" t="s">
        <v>72</v>
      </c>
      <c r="W20">
        <v>77.60273972602738</v>
      </c>
      <c r="X20">
        <v>95</v>
      </c>
      <c r="AF20" s="5" t="s">
        <v>58</v>
      </c>
    </row>
    <row r="21" spans="1:34" x14ac:dyDescent="0.3">
      <c r="A21">
        <v>18</v>
      </c>
      <c r="B21">
        <f>SUM(C21:I21)</f>
        <v>572</v>
      </c>
      <c r="C21">
        <f>C20-J20</f>
        <v>36.5</v>
      </c>
      <c r="D21">
        <f>D20-K21</f>
        <v>46</v>
      </c>
      <c r="E21">
        <f t="shared" si="5"/>
        <v>34.800000000000004</v>
      </c>
      <c r="F21">
        <f t="shared" si="11"/>
        <v>21.499999999999989</v>
      </c>
      <c r="G21">
        <f t="shared" si="8"/>
        <v>23.200000000000003</v>
      </c>
      <c r="H21">
        <f>H20-O20</f>
        <v>250</v>
      </c>
      <c r="I21">
        <f t="shared" si="7"/>
        <v>160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90</v>
      </c>
      <c r="Q21" t="s">
        <v>75</v>
      </c>
      <c r="S21">
        <v>95</v>
      </c>
      <c r="T21">
        <v>0</v>
      </c>
      <c r="U21">
        <f t="shared" si="3"/>
        <v>90</v>
      </c>
      <c r="V21" t="s">
        <v>72</v>
      </c>
      <c r="W21">
        <v>95</v>
      </c>
      <c r="X21">
        <v>95</v>
      </c>
      <c r="AF21" s="5" t="s">
        <v>63</v>
      </c>
      <c r="AG21" t="s">
        <v>77</v>
      </c>
    </row>
    <row r="22" spans="1:34" x14ac:dyDescent="0.3">
      <c r="A22">
        <v>19</v>
      </c>
      <c r="B22">
        <f t="shared" si="1"/>
        <v>482</v>
      </c>
      <c r="C22">
        <f t="shared" si="10"/>
        <v>36.5</v>
      </c>
      <c r="D22">
        <f t="shared" si="4"/>
        <v>46</v>
      </c>
      <c r="E22">
        <f t="shared" si="5"/>
        <v>34.800000000000004</v>
      </c>
      <c r="F22">
        <f t="shared" si="11"/>
        <v>21.499999999999989</v>
      </c>
      <c r="G22">
        <f t="shared" si="8"/>
        <v>23.200000000000003</v>
      </c>
      <c r="H22">
        <f t="shared" si="6"/>
        <v>250</v>
      </c>
      <c r="I22">
        <f t="shared" si="7"/>
        <v>70</v>
      </c>
      <c r="J22">
        <v>0</v>
      </c>
      <c r="K22">
        <v>0</v>
      </c>
      <c r="L22">
        <v>0</v>
      </c>
      <c r="M22">
        <v>0</v>
      </c>
      <c r="N22">
        <v>0</v>
      </c>
      <c r="O22">
        <v>95</v>
      </c>
      <c r="P22">
        <v>0</v>
      </c>
      <c r="Q22" t="s">
        <v>53</v>
      </c>
      <c r="S22">
        <v>96</v>
      </c>
      <c r="T22">
        <v>0</v>
      </c>
      <c r="U22">
        <f t="shared" si="3"/>
        <v>95</v>
      </c>
      <c r="V22" t="s">
        <v>72</v>
      </c>
      <c r="W22">
        <v>96</v>
      </c>
      <c r="X22">
        <v>96</v>
      </c>
      <c r="AF22" s="5" t="s">
        <v>63</v>
      </c>
      <c r="AG22" t="s">
        <v>78</v>
      </c>
    </row>
    <row r="23" spans="1:34" x14ac:dyDescent="0.3">
      <c r="A23">
        <v>20</v>
      </c>
      <c r="B23">
        <f t="shared" si="1"/>
        <v>387</v>
      </c>
      <c r="C23">
        <f t="shared" si="10"/>
        <v>36.5</v>
      </c>
      <c r="D23">
        <f t="shared" si="4"/>
        <v>46</v>
      </c>
      <c r="E23">
        <f t="shared" si="5"/>
        <v>34.800000000000004</v>
      </c>
      <c r="F23">
        <f t="shared" si="11"/>
        <v>21.499999999999989</v>
      </c>
      <c r="G23">
        <f t="shared" si="8"/>
        <v>23.200000000000003</v>
      </c>
      <c r="H23">
        <f t="shared" si="6"/>
        <v>155</v>
      </c>
      <c r="I23">
        <f t="shared" si="7"/>
        <v>70</v>
      </c>
      <c r="J23">
        <v>0</v>
      </c>
      <c r="K23">
        <v>0</v>
      </c>
      <c r="L23">
        <v>0</v>
      </c>
      <c r="M23">
        <v>0</v>
      </c>
      <c r="N23">
        <v>0</v>
      </c>
      <c r="O23">
        <v>95</v>
      </c>
      <c r="P23">
        <v>0</v>
      </c>
      <c r="Q23" t="s">
        <v>53</v>
      </c>
      <c r="S23">
        <v>96</v>
      </c>
      <c r="T23">
        <v>0</v>
      </c>
      <c r="U23">
        <f t="shared" si="3"/>
        <v>95</v>
      </c>
      <c r="V23" t="s">
        <v>72</v>
      </c>
      <c r="W23">
        <v>96</v>
      </c>
      <c r="X23">
        <v>96</v>
      </c>
      <c r="AF23" s="5" t="s">
        <v>71</v>
      </c>
      <c r="AG23" t="s">
        <v>58</v>
      </c>
      <c r="AH23" t="s">
        <v>172</v>
      </c>
    </row>
    <row r="24" spans="1:34" x14ac:dyDescent="0.3">
      <c r="A24">
        <v>21</v>
      </c>
      <c r="B24">
        <f t="shared" si="1"/>
        <v>292</v>
      </c>
      <c r="C24">
        <f t="shared" si="10"/>
        <v>36.5</v>
      </c>
      <c r="D24">
        <f t="shared" si="4"/>
        <v>46</v>
      </c>
      <c r="E24">
        <f t="shared" si="5"/>
        <v>34.800000000000004</v>
      </c>
      <c r="F24">
        <f t="shared" si="11"/>
        <v>21.499999999999989</v>
      </c>
      <c r="G24">
        <f t="shared" si="8"/>
        <v>23.200000000000003</v>
      </c>
      <c r="H24">
        <f>H23-O23</f>
        <v>60</v>
      </c>
      <c r="I24">
        <f t="shared" si="7"/>
        <v>70</v>
      </c>
      <c r="J24">
        <v>0</v>
      </c>
      <c r="K24">
        <v>0</v>
      </c>
      <c r="L24">
        <v>0</v>
      </c>
      <c r="M24">
        <v>0</v>
      </c>
      <c r="N24">
        <v>0</v>
      </c>
      <c r="O24">
        <v>95</v>
      </c>
      <c r="P24">
        <v>0</v>
      </c>
      <c r="Q24" t="s">
        <v>53</v>
      </c>
      <c r="S24">
        <v>8</v>
      </c>
      <c r="T24">
        <v>0</v>
      </c>
      <c r="U24">
        <f t="shared" si="3"/>
        <v>95</v>
      </c>
      <c r="V24" t="s">
        <v>72</v>
      </c>
      <c r="W24">
        <v>8</v>
      </c>
      <c r="X24">
        <v>96</v>
      </c>
      <c r="AF24" s="5" t="s">
        <v>71</v>
      </c>
      <c r="AG24" t="s">
        <v>58</v>
      </c>
      <c r="AH24" t="s">
        <v>65</v>
      </c>
    </row>
    <row r="25" spans="1:34" s="6" customFormat="1" x14ac:dyDescent="0.3">
      <c r="A25" s="6">
        <v>22</v>
      </c>
      <c r="B25" s="6">
        <f>SUM(C25:I25)</f>
        <v>897</v>
      </c>
      <c r="C25" s="6">
        <f>C24-J24</f>
        <v>36.5</v>
      </c>
      <c r="D25" s="6">
        <f t="shared" si="4"/>
        <v>46</v>
      </c>
      <c r="E25" s="6">
        <f>E24-L24+150</f>
        <v>184.8</v>
      </c>
      <c r="F25" s="6">
        <f t="shared" si="11"/>
        <v>21.499999999999989</v>
      </c>
      <c r="G25" s="6">
        <f t="shared" si="8"/>
        <v>23.200000000000003</v>
      </c>
      <c r="H25" s="6">
        <f>H24-O24+550</f>
        <v>515</v>
      </c>
      <c r="I25" s="6">
        <f>I24-P24</f>
        <v>70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95</v>
      </c>
      <c r="P25" s="6">
        <v>0</v>
      </c>
      <c r="Q25" s="6" t="s">
        <v>60</v>
      </c>
      <c r="S25" s="6">
        <v>87</v>
      </c>
      <c r="T25" s="6">
        <v>0</v>
      </c>
      <c r="U25" s="6">
        <f t="shared" si="3"/>
        <v>95</v>
      </c>
      <c r="V25" s="6" t="s">
        <v>72</v>
      </c>
      <c r="W25" s="6">
        <v>87</v>
      </c>
      <c r="X25" s="6">
        <v>87</v>
      </c>
      <c r="AF25" s="13" t="s">
        <v>146</v>
      </c>
      <c r="AG25" s="6" t="s">
        <v>63</v>
      </c>
      <c r="AH25" s="6" t="s">
        <v>134</v>
      </c>
    </row>
    <row r="26" spans="1:34" x14ac:dyDescent="0.3">
      <c r="A26">
        <v>23</v>
      </c>
      <c r="B26">
        <f t="shared" si="1"/>
        <v>802</v>
      </c>
      <c r="C26">
        <f>C25-J25</f>
        <v>36.5</v>
      </c>
      <c r="D26">
        <f t="shared" si="4"/>
        <v>46</v>
      </c>
      <c r="E26">
        <f>E25-L25</f>
        <v>184.8</v>
      </c>
      <c r="F26">
        <f t="shared" si="11"/>
        <v>21.499999999999989</v>
      </c>
      <c r="G26">
        <f t="shared" si="8"/>
        <v>23.200000000000003</v>
      </c>
      <c r="H26">
        <f>H25-O25</f>
        <v>420</v>
      </c>
      <c r="I26">
        <f>I25-P25</f>
        <v>70</v>
      </c>
      <c r="J26">
        <v>0</v>
      </c>
      <c r="K26">
        <v>0</v>
      </c>
      <c r="L26">
        <v>0</v>
      </c>
      <c r="M26">
        <v>0</v>
      </c>
      <c r="N26">
        <v>0</v>
      </c>
      <c r="O26">
        <v>95</v>
      </c>
      <c r="P26">
        <v>0</v>
      </c>
      <c r="Q26" t="s">
        <v>60</v>
      </c>
      <c r="S26">
        <v>87</v>
      </c>
      <c r="T26">
        <v>0</v>
      </c>
      <c r="U26">
        <f t="shared" si="3"/>
        <v>95</v>
      </c>
      <c r="V26" t="s">
        <v>72</v>
      </c>
      <c r="W26">
        <v>87</v>
      </c>
      <c r="X26">
        <v>87</v>
      </c>
      <c r="AG26" t="s">
        <v>63</v>
      </c>
      <c r="AH26" t="s">
        <v>99</v>
      </c>
    </row>
    <row r="27" spans="1:34" x14ac:dyDescent="0.3">
      <c r="A27">
        <v>24</v>
      </c>
      <c r="B27">
        <f t="shared" si="1"/>
        <v>707</v>
      </c>
      <c r="C27">
        <f>C26-J26</f>
        <v>36.5</v>
      </c>
      <c r="D27">
        <f t="shared" si="4"/>
        <v>46</v>
      </c>
      <c r="E27">
        <f t="shared" si="5"/>
        <v>184.8</v>
      </c>
      <c r="F27">
        <f t="shared" si="11"/>
        <v>21.499999999999989</v>
      </c>
      <c r="G27">
        <f t="shared" si="8"/>
        <v>23.200000000000003</v>
      </c>
      <c r="H27">
        <f>H26-O26</f>
        <v>325</v>
      </c>
      <c r="I27">
        <f>I26-P26</f>
        <v>70</v>
      </c>
      <c r="J27">
        <v>0</v>
      </c>
      <c r="K27">
        <v>0</v>
      </c>
      <c r="L27">
        <v>0</v>
      </c>
      <c r="M27">
        <v>0</v>
      </c>
      <c r="N27">
        <v>0</v>
      </c>
      <c r="O27">
        <v>95</v>
      </c>
      <c r="P27">
        <v>0</v>
      </c>
      <c r="Q27" t="s">
        <v>60</v>
      </c>
      <c r="S27">
        <v>87</v>
      </c>
      <c r="T27">
        <v>0</v>
      </c>
      <c r="U27">
        <f t="shared" si="3"/>
        <v>95</v>
      </c>
      <c r="V27" t="s">
        <v>72</v>
      </c>
      <c r="W27">
        <v>87</v>
      </c>
      <c r="X27">
        <v>87</v>
      </c>
      <c r="AG27" t="s">
        <v>71</v>
      </c>
      <c r="AH27" t="s">
        <v>99</v>
      </c>
    </row>
    <row r="28" spans="1:34" x14ac:dyDescent="0.3">
      <c r="A28">
        <v>25</v>
      </c>
      <c r="B28">
        <f t="shared" si="1"/>
        <v>612</v>
      </c>
      <c r="C28">
        <f t="shared" si="10"/>
        <v>36.5</v>
      </c>
      <c r="D28">
        <f t="shared" si="4"/>
        <v>46</v>
      </c>
      <c r="E28">
        <f t="shared" si="5"/>
        <v>184.8</v>
      </c>
      <c r="F28">
        <f t="shared" si="9"/>
        <v>21.499999999999989</v>
      </c>
      <c r="G28">
        <f t="shared" si="8"/>
        <v>23.200000000000003</v>
      </c>
      <c r="H28">
        <f>H27-O27</f>
        <v>230</v>
      </c>
      <c r="I28">
        <f>I27-P27</f>
        <v>70</v>
      </c>
      <c r="J28">
        <v>0</v>
      </c>
      <c r="K28">
        <v>0</v>
      </c>
      <c r="L28">
        <v>0</v>
      </c>
      <c r="M28">
        <v>0</v>
      </c>
      <c r="N28">
        <v>0</v>
      </c>
      <c r="O28">
        <v>95</v>
      </c>
      <c r="P28">
        <v>0</v>
      </c>
      <c r="Q28" t="s">
        <v>60</v>
      </c>
      <c r="S28">
        <v>87</v>
      </c>
      <c r="T28">
        <v>0</v>
      </c>
      <c r="U28">
        <f t="shared" si="3"/>
        <v>95</v>
      </c>
      <c r="V28" t="s">
        <v>72</v>
      </c>
      <c r="W28">
        <v>87</v>
      </c>
      <c r="X28">
        <v>87</v>
      </c>
      <c r="AG28" t="s">
        <v>71</v>
      </c>
      <c r="AH28" t="s">
        <v>99</v>
      </c>
    </row>
    <row r="29" spans="1:34" x14ac:dyDescent="0.3">
      <c r="A29">
        <v>26</v>
      </c>
      <c r="B29">
        <f t="shared" si="1"/>
        <v>517</v>
      </c>
      <c r="C29">
        <f>C28-J28</f>
        <v>36.5</v>
      </c>
      <c r="D29">
        <f t="shared" si="4"/>
        <v>46</v>
      </c>
      <c r="E29">
        <f t="shared" si="5"/>
        <v>184.8</v>
      </c>
      <c r="F29">
        <f t="shared" si="9"/>
        <v>21.499999999999989</v>
      </c>
      <c r="G29">
        <f t="shared" si="8"/>
        <v>23.200000000000003</v>
      </c>
      <c r="H29">
        <f>H28-O28</f>
        <v>135</v>
      </c>
      <c r="I29">
        <f t="shared" si="7"/>
        <v>70</v>
      </c>
      <c r="J29">
        <v>0</v>
      </c>
      <c r="K29">
        <v>0</v>
      </c>
      <c r="L29">
        <v>0</v>
      </c>
      <c r="M29">
        <v>0</v>
      </c>
      <c r="N29">
        <v>0</v>
      </c>
      <c r="O29">
        <v>95</v>
      </c>
      <c r="P29">
        <v>0</v>
      </c>
      <c r="Q29" t="s">
        <v>60</v>
      </c>
      <c r="S29">
        <v>12</v>
      </c>
      <c r="T29">
        <v>0</v>
      </c>
      <c r="U29">
        <f t="shared" si="3"/>
        <v>95</v>
      </c>
      <c r="V29" t="s">
        <v>72</v>
      </c>
      <c r="W29">
        <v>12</v>
      </c>
      <c r="X29">
        <v>87</v>
      </c>
      <c r="AG29" t="s">
        <v>71</v>
      </c>
      <c r="AH29" t="s">
        <v>176</v>
      </c>
    </row>
    <row r="30" spans="1:34" s="6" customFormat="1" x14ac:dyDescent="0.3">
      <c r="A30" s="6">
        <v>27</v>
      </c>
      <c r="B30" s="6">
        <f t="shared" si="1"/>
        <v>982</v>
      </c>
      <c r="C30" s="6">
        <f>C29-J29+360</f>
        <v>396.5</v>
      </c>
      <c r="D30" s="6">
        <f>D29-K30</f>
        <v>46</v>
      </c>
      <c r="E30" s="6">
        <f t="shared" si="5"/>
        <v>184.8</v>
      </c>
      <c r="F30" s="6">
        <f>F29-M29+200</f>
        <v>221.5</v>
      </c>
      <c r="G30" s="6">
        <f>G29-N29</f>
        <v>23.200000000000003</v>
      </c>
      <c r="H30" s="6">
        <f>H29-O29</f>
        <v>40</v>
      </c>
      <c r="I30" s="6">
        <f t="shared" si="7"/>
        <v>70</v>
      </c>
      <c r="J30" s="6">
        <v>87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 t="s">
        <v>54</v>
      </c>
      <c r="S30" s="6">
        <v>95</v>
      </c>
      <c r="T30" s="6">
        <v>0</v>
      </c>
      <c r="U30" s="6">
        <f t="shared" si="3"/>
        <v>87</v>
      </c>
      <c r="V30" s="6" t="s">
        <v>72</v>
      </c>
      <c r="W30" s="6">
        <v>95</v>
      </c>
      <c r="X30" s="6">
        <v>95</v>
      </c>
      <c r="AG30" s="6" t="s">
        <v>84</v>
      </c>
      <c r="AH30" s="6" t="s">
        <v>58</v>
      </c>
    </row>
    <row r="31" spans="1:34" x14ac:dyDescent="0.3">
      <c r="A31">
        <v>28</v>
      </c>
      <c r="B31">
        <f t="shared" si="1"/>
        <v>895</v>
      </c>
      <c r="C31">
        <f>C30-J30</f>
        <v>309.5</v>
      </c>
      <c r="D31">
        <f t="shared" si="4"/>
        <v>46</v>
      </c>
      <c r="E31">
        <f t="shared" si="5"/>
        <v>184.8</v>
      </c>
      <c r="F31">
        <f>F30-M30</f>
        <v>221.5</v>
      </c>
      <c r="G31">
        <f t="shared" si="8"/>
        <v>23.200000000000003</v>
      </c>
      <c r="H31">
        <f t="shared" si="6"/>
        <v>40</v>
      </c>
      <c r="I31">
        <f t="shared" si="7"/>
        <v>70</v>
      </c>
      <c r="J31">
        <v>69.349999999999994</v>
      </c>
      <c r="K31">
        <v>0</v>
      </c>
      <c r="L31">
        <v>0</v>
      </c>
      <c r="M31">
        <v>25.65</v>
      </c>
      <c r="N31">
        <v>0</v>
      </c>
      <c r="O31">
        <v>0</v>
      </c>
      <c r="P31">
        <v>0</v>
      </c>
      <c r="Q31" t="s">
        <v>54</v>
      </c>
      <c r="S31">
        <v>55</v>
      </c>
      <c r="T31">
        <v>0</v>
      </c>
      <c r="U31">
        <f t="shared" si="3"/>
        <v>95</v>
      </c>
      <c r="V31" t="s">
        <v>72</v>
      </c>
      <c r="W31">
        <v>55</v>
      </c>
      <c r="X31">
        <v>95</v>
      </c>
      <c r="AH31" t="s">
        <v>58</v>
      </c>
    </row>
    <row r="32" spans="1:34" x14ac:dyDescent="0.3">
      <c r="A32">
        <v>29</v>
      </c>
      <c r="B32">
        <f t="shared" si="1"/>
        <v>800</v>
      </c>
      <c r="C32">
        <f>C31-J31</f>
        <v>240.15</v>
      </c>
      <c r="D32">
        <f t="shared" si="4"/>
        <v>46</v>
      </c>
      <c r="E32">
        <f t="shared" si="5"/>
        <v>184.8</v>
      </c>
      <c r="F32">
        <f>F31-M31</f>
        <v>195.85</v>
      </c>
      <c r="G32">
        <f t="shared" si="8"/>
        <v>23.200000000000003</v>
      </c>
      <c r="H32">
        <f t="shared" ref="H32:H44" si="12">H31-O31</f>
        <v>40</v>
      </c>
      <c r="I32">
        <f t="shared" si="7"/>
        <v>70</v>
      </c>
      <c r="J32">
        <v>69.349999999999994</v>
      </c>
      <c r="K32">
        <v>0</v>
      </c>
      <c r="L32">
        <v>0</v>
      </c>
      <c r="M32">
        <v>25.65</v>
      </c>
      <c r="N32">
        <v>0</v>
      </c>
      <c r="O32">
        <v>0</v>
      </c>
      <c r="P32">
        <v>0</v>
      </c>
      <c r="Q32" t="s">
        <v>75</v>
      </c>
      <c r="S32">
        <v>95</v>
      </c>
      <c r="T32">
        <v>0</v>
      </c>
      <c r="U32">
        <f t="shared" si="3"/>
        <v>95</v>
      </c>
      <c r="V32" t="s">
        <v>72</v>
      </c>
      <c r="W32">
        <v>95</v>
      </c>
      <c r="X32">
        <v>95</v>
      </c>
      <c r="AH32" t="s">
        <v>63</v>
      </c>
    </row>
    <row r="33" spans="1:34" x14ac:dyDescent="0.3">
      <c r="A33">
        <v>30</v>
      </c>
      <c r="B33">
        <f t="shared" si="1"/>
        <v>705</v>
      </c>
      <c r="C33">
        <f>C32-J32</f>
        <v>170.8</v>
      </c>
      <c r="D33">
        <f t="shared" si="4"/>
        <v>46</v>
      </c>
      <c r="E33">
        <f t="shared" si="5"/>
        <v>184.8</v>
      </c>
      <c r="F33">
        <f t="shared" si="9"/>
        <v>170.2</v>
      </c>
      <c r="G33">
        <f>G32-N32</f>
        <v>23.200000000000003</v>
      </c>
      <c r="H33">
        <f t="shared" si="12"/>
        <v>40</v>
      </c>
      <c r="I33">
        <f t="shared" si="7"/>
        <v>70</v>
      </c>
      <c r="J33">
        <v>69.349999999999994</v>
      </c>
      <c r="K33">
        <v>0</v>
      </c>
      <c r="L33">
        <v>0</v>
      </c>
      <c r="M33">
        <v>25.65</v>
      </c>
      <c r="N33">
        <v>0</v>
      </c>
      <c r="O33">
        <v>0</v>
      </c>
      <c r="P33">
        <v>0</v>
      </c>
      <c r="Q33" t="s">
        <v>75</v>
      </c>
      <c r="S33">
        <v>95</v>
      </c>
      <c r="T33">
        <v>0</v>
      </c>
      <c r="U33">
        <f t="shared" si="3"/>
        <v>95</v>
      </c>
      <c r="V33" t="s">
        <v>72</v>
      </c>
      <c r="W33">
        <v>95</v>
      </c>
      <c r="X33">
        <v>95</v>
      </c>
      <c r="AH33" t="s">
        <v>63</v>
      </c>
    </row>
    <row r="34" spans="1:34" x14ac:dyDescent="0.3">
      <c r="A34">
        <v>31</v>
      </c>
      <c r="B34">
        <f t="shared" si="1"/>
        <v>610</v>
      </c>
      <c r="C34">
        <f t="shared" si="10"/>
        <v>101.45000000000002</v>
      </c>
      <c r="D34">
        <f t="shared" si="4"/>
        <v>46</v>
      </c>
      <c r="E34">
        <f t="shared" si="5"/>
        <v>184.8</v>
      </c>
      <c r="F34">
        <f t="shared" si="9"/>
        <v>144.54999999999998</v>
      </c>
      <c r="G34">
        <f t="shared" si="8"/>
        <v>23.200000000000003</v>
      </c>
      <c r="H34">
        <f t="shared" si="12"/>
        <v>40</v>
      </c>
      <c r="I34">
        <f t="shared" si="7"/>
        <v>70</v>
      </c>
      <c r="J34">
        <v>69.349999999999994</v>
      </c>
      <c r="K34">
        <v>0</v>
      </c>
      <c r="L34">
        <v>0</v>
      </c>
      <c r="M34">
        <v>25.65</v>
      </c>
      <c r="N34">
        <v>0</v>
      </c>
      <c r="O34">
        <v>0</v>
      </c>
      <c r="P34">
        <v>0</v>
      </c>
      <c r="U34">
        <f t="shared" si="3"/>
        <v>95</v>
      </c>
      <c r="AH34" t="s">
        <v>71</v>
      </c>
    </row>
    <row r="35" spans="1:34" x14ac:dyDescent="0.3">
      <c r="A35">
        <v>32</v>
      </c>
      <c r="B35">
        <f t="shared" si="1"/>
        <v>515</v>
      </c>
      <c r="C35">
        <f t="shared" si="10"/>
        <v>32.100000000000023</v>
      </c>
      <c r="D35">
        <f t="shared" si="4"/>
        <v>46</v>
      </c>
      <c r="E35">
        <f t="shared" si="5"/>
        <v>184.8</v>
      </c>
      <c r="F35">
        <f t="shared" si="9"/>
        <v>118.89999999999998</v>
      </c>
      <c r="G35">
        <f t="shared" si="8"/>
        <v>23.200000000000003</v>
      </c>
      <c r="H35">
        <f t="shared" si="12"/>
        <v>40</v>
      </c>
      <c r="I35">
        <f t="shared" si="7"/>
        <v>70</v>
      </c>
      <c r="J35">
        <v>0</v>
      </c>
      <c r="K35">
        <v>0</v>
      </c>
      <c r="L35">
        <v>57.6</v>
      </c>
      <c r="M35">
        <v>0</v>
      </c>
      <c r="N35">
        <v>38.4</v>
      </c>
      <c r="O35">
        <v>0</v>
      </c>
      <c r="P35">
        <v>0</v>
      </c>
      <c r="U35">
        <f t="shared" si="3"/>
        <v>96</v>
      </c>
      <c r="AH35" t="s">
        <v>71</v>
      </c>
    </row>
    <row r="36" spans="1:34" s="6" customFormat="1" x14ac:dyDescent="0.3">
      <c r="A36" s="6">
        <v>33</v>
      </c>
      <c r="B36" s="6">
        <f t="shared" si="1"/>
        <v>949</v>
      </c>
      <c r="C36" s="6">
        <f t="shared" si="10"/>
        <v>32.100000000000023</v>
      </c>
      <c r="D36" s="6">
        <f t="shared" si="4"/>
        <v>46</v>
      </c>
      <c r="E36" s="6">
        <f t="shared" si="5"/>
        <v>127.20000000000002</v>
      </c>
      <c r="F36" s="6">
        <f t="shared" si="9"/>
        <v>118.89999999999998</v>
      </c>
      <c r="G36" s="6">
        <f>G35-N35+150</f>
        <v>134.80000000000001</v>
      </c>
      <c r="H36" s="6">
        <f>H35-O35+100</f>
        <v>140</v>
      </c>
      <c r="I36" s="6">
        <f>I35-P35+280</f>
        <v>350</v>
      </c>
      <c r="J36" s="6">
        <v>0</v>
      </c>
      <c r="K36" s="6">
        <v>0</v>
      </c>
      <c r="L36" s="6">
        <v>57.6</v>
      </c>
      <c r="M36" s="6">
        <v>0</v>
      </c>
      <c r="N36" s="6">
        <v>38.4</v>
      </c>
      <c r="O36" s="6">
        <v>0</v>
      </c>
      <c r="P36" s="6">
        <v>0</v>
      </c>
      <c r="U36" s="6">
        <f t="shared" si="3"/>
        <v>96</v>
      </c>
      <c r="AH36" s="6" t="s">
        <v>177</v>
      </c>
    </row>
    <row r="37" spans="1:34" x14ac:dyDescent="0.3">
      <c r="A37">
        <v>34</v>
      </c>
      <c r="B37">
        <f t="shared" si="1"/>
        <v>853</v>
      </c>
      <c r="C37">
        <f t="shared" si="10"/>
        <v>32.100000000000023</v>
      </c>
      <c r="D37">
        <f t="shared" si="4"/>
        <v>46</v>
      </c>
      <c r="E37">
        <f t="shared" si="5"/>
        <v>69.600000000000023</v>
      </c>
      <c r="F37">
        <f t="shared" si="9"/>
        <v>118.89999999999998</v>
      </c>
      <c r="G37">
        <f t="shared" si="8"/>
        <v>96.4</v>
      </c>
      <c r="H37">
        <f t="shared" si="12"/>
        <v>140</v>
      </c>
      <c r="I37">
        <f t="shared" si="7"/>
        <v>350</v>
      </c>
      <c r="J37">
        <v>0</v>
      </c>
      <c r="K37">
        <v>0</v>
      </c>
      <c r="L37">
        <v>57.6</v>
      </c>
      <c r="M37">
        <v>0</v>
      </c>
      <c r="N37">
        <v>38.4</v>
      </c>
      <c r="O37">
        <v>0</v>
      </c>
      <c r="P37">
        <v>0</v>
      </c>
      <c r="U37">
        <f>SUM(J37:P37)</f>
        <v>96</v>
      </c>
    </row>
    <row r="38" spans="1:34" x14ac:dyDescent="0.3">
      <c r="A38">
        <v>35</v>
      </c>
      <c r="B38">
        <f t="shared" si="1"/>
        <v>757</v>
      </c>
      <c r="C38">
        <f t="shared" si="10"/>
        <v>32.100000000000023</v>
      </c>
      <c r="D38">
        <f t="shared" si="4"/>
        <v>46</v>
      </c>
      <c r="E38">
        <f t="shared" si="5"/>
        <v>12.000000000000021</v>
      </c>
      <c r="F38">
        <f t="shared" si="9"/>
        <v>118.89999999999998</v>
      </c>
      <c r="G38">
        <f>G37-N37</f>
        <v>58.000000000000007</v>
      </c>
      <c r="H38">
        <f t="shared" si="12"/>
        <v>140</v>
      </c>
      <c r="I38">
        <f>I37-P37</f>
        <v>350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90</v>
      </c>
      <c r="U38">
        <f t="shared" si="3"/>
        <v>90</v>
      </c>
    </row>
    <row r="39" spans="1:34" x14ac:dyDescent="0.3">
      <c r="A39">
        <v>36</v>
      </c>
      <c r="B39">
        <f t="shared" si="1"/>
        <v>667</v>
      </c>
      <c r="C39">
        <f t="shared" si="10"/>
        <v>32.100000000000023</v>
      </c>
      <c r="D39">
        <f t="shared" si="4"/>
        <v>46</v>
      </c>
      <c r="E39">
        <f t="shared" si="5"/>
        <v>12.000000000000021</v>
      </c>
      <c r="F39">
        <f t="shared" si="9"/>
        <v>118.89999999999998</v>
      </c>
      <c r="G39">
        <f t="shared" si="8"/>
        <v>58.000000000000007</v>
      </c>
      <c r="H39">
        <f t="shared" si="12"/>
        <v>140</v>
      </c>
      <c r="I39">
        <f t="shared" si="7"/>
        <v>260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90</v>
      </c>
      <c r="U39">
        <f t="shared" si="3"/>
        <v>90</v>
      </c>
    </row>
    <row r="40" spans="1:34" x14ac:dyDescent="0.3">
      <c r="A40">
        <v>37</v>
      </c>
      <c r="B40">
        <f t="shared" si="1"/>
        <v>577</v>
      </c>
      <c r="C40">
        <f t="shared" si="10"/>
        <v>32.100000000000023</v>
      </c>
      <c r="D40">
        <f t="shared" si="4"/>
        <v>46</v>
      </c>
      <c r="E40">
        <f t="shared" si="5"/>
        <v>12.000000000000021</v>
      </c>
      <c r="F40">
        <f t="shared" si="9"/>
        <v>118.89999999999998</v>
      </c>
      <c r="G40">
        <f t="shared" si="8"/>
        <v>58.000000000000007</v>
      </c>
      <c r="H40">
        <f t="shared" si="12"/>
        <v>140</v>
      </c>
      <c r="I40">
        <f t="shared" si="7"/>
        <v>170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90</v>
      </c>
      <c r="U40">
        <f t="shared" si="3"/>
        <v>90</v>
      </c>
    </row>
    <row r="41" spans="1:34" x14ac:dyDescent="0.3">
      <c r="A41">
        <v>38</v>
      </c>
      <c r="B41">
        <f t="shared" si="1"/>
        <v>487.00000000000006</v>
      </c>
      <c r="C41">
        <f t="shared" si="10"/>
        <v>32.100000000000023</v>
      </c>
      <c r="D41">
        <f t="shared" si="4"/>
        <v>46</v>
      </c>
      <c r="E41">
        <f t="shared" si="5"/>
        <v>12.000000000000021</v>
      </c>
      <c r="F41">
        <f t="shared" si="9"/>
        <v>118.89999999999998</v>
      </c>
      <c r="G41">
        <f t="shared" si="8"/>
        <v>58.000000000000007</v>
      </c>
      <c r="H41">
        <f t="shared" si="12"/>
        <v>140</v>
      </c>
      <c r="I41">
        <f t="shared" si="7"/>
        <v>80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90</v>
      </c>
      <c r="U41">
        <f t="shared" si="3"/>
        <v>90</v>
      </c>
    </row>
    <row r="42" spans="1:34" x14ac:dyDescent="0.3">
      <c r="A42">
        <v>39</v>
      </c>
      <c r="B42">
        <f t="shared" si="1"/>
        <v>397.00000000000006</v>
      </c>
      <c r="C42">
        <f t="shared" si="10"/>
        <v>32.100000000000023</v>
      </c>
      <c r="D42">
        <f t="shared" si="4"/>
        <v>46</v>
      </c>
      <c r="E42">
        <f t="shared" si="5"/>
        <v>12.000000000000021</v>
      </c>
      <c r="F42">
        <f t="shared" si="9"/>
        <v>118.89999999999998</v>
      </c>
      <c r="G42">
        <f t="shared" si="8"/>
        <v>58.000000000000007</v>
      </c>
      <c r="H42">
        <f t="shared" si="12"/>
        <v>140</v>
      </c>
      <c r="I42">
        <f t="shared" si="7"/>
        <v>-10</v>
      </c>
      <c r="J42">
        <v>0</v>
      </c>
      <c r="K42">
        <v>0</v>
      </c>
      <c r="L42">
        <v>0</v>
      </c>
      <c r="M42">
        <v>0</v>
      </c>
      <c r="N42">
        <v>0</v>
      </c>
      <c r="O42">
        <v>95</v>
      </c>
      <c r="P42">
        <v>0</v>
      </c>
      <c r="U42">
        <f t="shared" si="3"/>
        <v>95</v>
      </c>
    </row>
    <row r="43" spans="1:34" x14ac:dyDescent="0.3">
      <c r="A43">
        <v>40</v>
      </c>
      <c r="B43">
        <f t="shared" si="1"/>
        <v>302.00000000000006</v>
      </c>
      <c r="C43">
        <f t="shared" si="10"/>
        <v>32.100000000000023</v>
      </c>
      <c r="D43">
        <f t="shared" si="4"/>
        <v>46</v>
      </c>
      <c r="E43">
        <f t="shared" si="5"/>
        <v>12.000000000000021</v>
      </c>
      <c r="F43">
        <f t="shared" si="9"/>
        <v>118.89999999999998</v>
      </c>
      <c r="G43">
        <f t="shared" si="8"/>
        <v>58.000000000000007</v>
      </c>
      <c r="H43">
        <f t="shared" si="12"/>
        <v>45</v>
      </c>
      <c r="I43">
        <f t="shared" si="7"/>
        <v>-10</v>
      </c>
      <c r="J43">
        <v>0</v>
      </c>
      <c r="K43">
        <v>0</v>
      </c>
      <c r="L43">
        <v>0</v>
      </c>
      <c r="M43">
        <v>40</v>
      </c>
      <c r="N43">
        <v>40</v>
      </c>
      <c r="O43">
        <v>0</v>
      </c>
      <c r="P43">
        <v>0</v>
      </c>
      <c r="U43">
        <f t="shared" si="3"/>
        <v>80</v>
      </c>
    </row>
    <row r="44" spans="1:34" x14ac:dyDescent="0.3">
      <c r="A44">
        <v>41</v>
      </c>
      <c r="B44">
        <f>SUM(C44:I44)</f>
        <v>222.00000000000003</v>
      </c>
      <c r="C44">
        <f>C43-J43</f>
        <v>32.100000000000023</v>
      </c>
      <c r="D44">
        <f>D43-K44</f>
        <v>46</v>
      </c>
      <c r="E44">
        <f>E43-L43</f>
        <v>12.000000000000021</v>
      </c>
      <c r="F44">
        <f>F43-M43</f>
        <v>78.899999999999977</v>
      </c>
      <c r="G44">
        <f>G43-N43</f>
        <v>18.000000000000007</v>
      </c>
      <c r="H44">
        <f t="shared" si="12"/>
        <v>45</v>
      </c>
      <c r="I44">
        <f>I43-P43</f>
        <v>-10</v>
      </c>
      <c r="P44" t="s">
        <v>86</v>
      </c>
      <c r="U44" s="4">
        <f>AVERAGE(U4:U33)</f>
        <v>94</v>
      </c>
    </row>
    <row r="45" spans="1:34" x14ac:dyDescent="0.3">
      <c r="P45" t="s">
        <v>88</v>
      </c>
      <c r="U45" s="4">
        <f>AVERAGE(U4:U43)</f>
        <v>93.45</v>
      </c>
    </row>
    <row r="46" spans="1:34" x14ac:dyDescent="0.3">
      <c r="H46">
        <f>21.5/2.7*69.3</f>
        <v>551.83333333333326</v>
      </c>
    </row>
    <row r="47" spans="1:34" x14ac:dyDescent="0.3">
      <c r="P47" t="s">
        <v>89</v>
      </c>
      <c r="U47">
        <f>SUM(U4:U43)</f>
        <v>3738</v>
      </c>
    </row>
    <row r="48" spans="1:34" x14ac:dyDescent="0.3">
      <c r="P48" t="s">
        <v>91</v>
      </c>
      <c r="U48">
        <f>B3</f>
        <v>1050</v>
      </c>
    </row>
    <row r="49" spans="16:30" x14ac:dyDescent="0.3">
      <c r="P49" t="s">
        <v>92</v>
      </c>
      <c r="U49">
        <v>2910</v>
      </c>
    </row>
    <row r="50" spans="16:30" x14ac:dyDescent="0.3">
      <c r="P50" t="s">
        <v>93</v>
      </c>
      <c r="U50">
        <f>B44</f>
        <v>222.00000000000003</v>
      </c>
      <c r="AD50">
        <f>U48+U49</f>
        <v>3960</v>
      </c>
    </row>
    <row r="51" spans="16:30" x14ac:dyDescent="0.3">
      <c r="AD51">
        <f>AD50-U47</f>
        <v>222</v>
      </c>
    </row>
  </sheetData>
  <pageMargins left="0.75" right="0.75" top="1" bottom="1" header="0.5" footer="0.5"/>
  <headerFooter>
    <oddHeader>&amp;C&amp;"Calibri"&amp;8&amp;K000000 For Internal Use - For Internal Distribution Only&amp;1#_x000D_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Instruction</vt:lpstr>
      <vt:lpstr>Summary</vt:lpstr>
      <vt:lpstr>Template</vt:lpstr>
      <vt:lpstr>Base Case (Working)</vt:lpstr>
      <vt:lpstr>Base Case (Celebal)</vt:lpstr>
      <vt:lpstr>Base Case (Working) R1</vt:lpstr>
      <vt:lpstr>Scenario 2</vt:lpstr>
      <vt:lpstr>Scenario 3</vt:lpstr>
      <vt:lpstr>Scenario 4</vt:lpstr>
      <vt:lpstr>Scenario 5a</vt:lpstr>
      <vt:lpstr>Scenario 5b</vt:lpstr>
      <vt:lpstr>Scenario 5c</vt:lpstr>
      <vt:lpstr>Base Case (1 Penalty)</vt:lpstr>
      <vt:lpstr>Base Case (Case 2)</vt:lpstr>
      <vt:lpstr>Ori</vt:lpstr>
      <vt:lpstr>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Khalil Fitri B Othman (EO/RM&amp;T)</cp:lastModifiedBy>
  <cp:revision/>
  <dcterms:created xsi:type="dcterms:W3CDTF">2025-05-06T06:59:31Z</dcterms:created>
  <dcterms:modified xsi:type="dcterms:W3CDTF">2025-09-23T07:42:29Z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2025-05-06T07:19:09Z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49a40959-4fc8-4f0d-b7c6-6b7301de2563</vt:lpwstr>
  </property>
  <property fmtid="{D5CDD505-2E9C-101B-9397-08002B2CF9AE}" pid="8" name="MSIP_Label_4978d09f-c8de-446a-ad17-731bb8b4c23e_ContentBits">
    <vt:lpwstr>1</vt:lpwstr>
  </property>
  <property fmtid="{D5CDD505-2E9C-101B-9397-08002B2CF9AE}" pid="9" name="MSIP_Label_4978d09f-c8de-446a-ad17-731bb8b4c23e_Tag">
    <vt:lpwstr>10, 3, 0, 1</vt:lpwstr>
  </property>
</Properties>
</file>